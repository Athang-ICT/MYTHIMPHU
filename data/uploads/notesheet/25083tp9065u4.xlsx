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nnexure 1A FNF" sheetId="2" r:id="rId5"/>
    <sheet state="visible" name="Annexure 1B EQP" sheetId="3" r:id="rId6"/>
    <sheet state="visible" name="Annex 2A Unserviceable items EQ" sheetId="4" r:id="rId7"/>
    <sheet state="visible" name="Annex 2B Unserviceable items FN" sheetId="5" r:id="rId8"/>
    <sheet state="visible" name="Annexure 2C Unserviceable Grant" sheetId="6" r:id="rId9"/>
    <sheet state="visible" name="Annex 2D Surrendered EQP" sheetId="7" r:id="rId10"/>
    <sheet state="visible" name="Annex 2E Surrendered FNF" sheetId="8" r:id="rId11"/>
    <sheet state="visible" name="Annex 2F Tally software for dis" sheetId="9" r:id="rId12"/>
    <sheet state="visible" name="Annex 3A EQP Physical not avail" sheetId="10" r:id="rId13"/>
    <sheet state="visible" name="Annex 3B Grant not ava but reco" sheetId="11" r:id="rId14"/>
    <sheet state="visible" name="Annex 3C Tally Software Writeof" sheetId="12" r:id="rId15"/>
  </sheets>
  <definedNames/>
  <calcPr/>
</workbook>
</file>

<file path=xl/sharedStrings.xml><?xml version="1.0" encoding="utf-8"?>
<sst xmlns="http://schemas.openxmlformats.org/spreadsheetml/2006/main" count="2979" uniqueCount="1019">
  <si>
    <t>Sl.No</t>
  </si>
  <si>
    <t>Particular</t>
  </si>
  <si>
    <t>Amount (Nu)</t>
  </si>
  <si>
    <t xml:space="preserve">Rectified as New Asset </t>
  </si>
  <si>
    <t>a</t>
  </si>
  <si>
    <t>b</t>
  </si>
  <si>
    <t>Total</t>
  </si>
  <si>
    <t>For Disposal</t>
  </si>
  <si>
    <t>c</t>
  </si>
  <si>
    <t>d</t>
  </si>
  <si>
    <t>e</t>
  </si>
  <si>
    <t>f</t>
  </si>
  <si>
    <t>For Write Off</t>
  </si>
  <si>
    <t xml:space="preserve">FNF Physicall Available but not recorded in the system  </t>
  </si>
  <si>
    <t>Sl No</t>
  </si>
  <si>
    <t>Asset Item</t>
  </si>
  <si>
    <t xml:space="preserve">ERP Codification </t>
  </si>
  <si>
    <t xml:space="preserve">Actual Codification </t>
  </si>
  <si>
    <t xml:space="preserve">Custodian </t>
  </si>
  <si>
    <t xml:space="preserve">Location </t>
  </si>
  <si>
    <t>HQ</t>
  </si>
  <si>
    <t>BBPL Table</t>
  </si>
  <si>
    <t xml:space="preserve">Not recorded </t>
  </si>
  <si>
    <t>2000/FNF/0136</t>
  </si>
  <si>
    <t xml:space="preserve">Tek Brd Poudyel </t>
  </si>
  <si>
    <t xml:space="preserve">Finance Division </t>
  </si>
  <si>
    <t>Half Back Revolving Chair old</t>
  </si>
  <si>
    <t xml:space="preserve">no code </t>
  </si>
  <si>
    <t xml:space="preserve">Phurba Dorji </t>
  </si>
  <si>
    <t>PBAX</t>
  </si>
  <si>
    <t>Goodraj Table old</t>
  </si>
  <si>
    <t>Steel Almirah Small old</t>
  </si>
  <si>
    <t xml:space="preserve">Chair Visiting with leather cusion </t>
  </si>
  <si>
    <t>2009/FNF/0011</t>
  </si>
  <si>
    <t>Thinley Wangchuk</t>
  </si>
  <si>
    <t xml:space="preserve">Corporate </t>
  </si>
  <si>
    <t>2009/FNF/0012</t>
  </si>
  <si>
    <t>2009/FNF/0013</t>
  </si>
  <si>
    <t xml:space="preserve">Steel Book Shelf </t>
  </si>
  <si>
    <t>1997/FNF/0008</t>
  </si>
  <si>
    <t xml:space="preserve">Jamyang Phuntsho </t>
  </si>
  <si>
    <t xml:space="preserve">Postal Operation </t>
  </si>
  <si>
    <t>Visiting Chair (Old)</t>
  </si>
  <si>
    <t>BP/OF/VC/18</t>
  </si>
  <si>
    <t xml:space="preserve">Wangmo Phuntsho Droenma </t>
  </si>
  <si>
    <t>BP/OF/VC/19</t>
  </si>
  <si>
    <t>BP/OF/VC/20</t>
  </si>
  <si>
    <t>Woodcraft Table</t>
  </si>
  <si>
    <t>Kezang Choden</t>
  </si>
  <si>
    <t xml:space="preserve">Visiting Chair WCCL </t>
  </si>
  <si>
    <t>2011/FNF/0042</t>
  </si>
  <si>
    <t>Sonam Penjor</t>
  </si>
  <si>
    <t>IAD</t>
  </si>
  <si>
    <t>2015/FNF/0019</t>
  </si>
  <si>
    <t>Side table BBPL</t>
  </si>
  <si>
    <t>1998/FNF/0024</t>
  </si>
  <si>
    <t>Almirah Steel</t>
  </si>
  <si>
    <t>NO Codification</t>
  </si>
  <si>
    <t>Tashi Wangchuk</t>
  </si>
  <si>
    <t xml:space="preserve">Philately Store </t>
  </si>
  <si>
    <t>Launch Board (Large)</t>
  </si>
  <si>
    <t>Launch Board (small)</t>
  </si>
  <si>
    <t>File Rack Broad</t>
  </si>
  <si>
    <t xml:space="preserve">No code </t>
  </si>
  <si>
    <t xml:space="preserve">Namgay Lhamo </t>
  </si>
  <si>
    <t xml:space="preserve">Pling GPO </t>
  </si>
  <si>
    <t xml:space="preserve">Steel Almirah Large </t>
  </si>
  <si>
    <t>1997/FNF/0011</t>
  </si>
  <si>
    <t xml:space="preserve">Side Table </t>
  </si>
  <si>
    <t>2013/FNF/0042</t>
  </si>
  <si>
    <t xml:space="preserve">Kinley Wangchuk </t>
  </si>
  <si>
    <t xml:space="preserve">Steel Chair </t>
  </si>
  <si>
    <t>1978/FNF/0008</t>
  </si>
  <si>
    <t xml:space="preserve">Lhamo </t>
  </si>
  <si>
    <t xml:space="preserve">Counter </t>
  </si>
  <si>
    <t xml:space="preserve">Chair visiting </t>
  </si>
  <si>
    <t xml:space="preserve">Yangki Dema </t>
  </si>
  <si>
    <t>1976/FNF/0007</t>
  </si>
  <si>
    <t>2006/FNF/0066</t>
  </si>
  <si>
    <t xml:space="preserve">Full secretariat Table </t>
  </si>
  <si>
    <t>2007/FNF/0056</t>
  </si>
  <si>
    <t>1997/FNF/0012</t>
  </si>
  <si>
    <t xml:space="preserve">Centre Table </t>
  </si>
  <si>
    <t xml:space="preserve">Sofa set </t>
  </si>
  <si>
    <t xml:space="preserve">Table </t>
  </si>
  <si>
    <t>1991/FNF/0054</t>
  </si>
  <si>
    <t xml:space="preserve">Passang Waiba </t>
  </si>
  <si>
    <t xml:space="preserve">Half revolving Chair </t>
  </si>
  <si>
    <t>2001/FNF/0031</t>
  </si>
  <si>
    <t xml:space="preserve">BBPL Wardobe </t>
  </si>
  <si>
    <t xml:space="preserve">Half scretrate Table </t>
  </si>
  <si>
    <t>2008/FNF/0051</t>
  </si>
  <si>
    <t>Chandra Bdr Subba</t>
  </si>
  <si>
    <t>1999/FNF/0049</t>
  </si>
  <si>
    <t xml:space="preserve">Karma Younten </t>
  </si>
  <si>
    <t>Sorting box Wooden</t>
  </si>
  <si>
    <t xml:space="preserve">Kelzang Tobgay </t>
  </si>
  <si>
    <t xml:space="preserve">Sorting Box Steel </t>
  </si>
  <si>
    <t xml:space="preserve">Table Wooden </t>
  </si>
  <si>
    <t>1976/FNF/0015</t>
  </si>
  <si>
    <t>2009/FNF/0050</t>
  </si>
  <si>
    <t>Almirah steel</t>
  </si>
  <si>
    <t>1978/FNF/0003</t>
  </si>
  <si>
    <t>2002/FNF/0053</t>
  </si>
  <si>
    <t xml:space="preserve">Steel Mail box </t>
  </si>
  <si>
    <t xml:space="preserve">Table steel </t>
  </si>
  <si>
    <t xml:space="preserve">Wooden Table </t>
  </si>
  <si>
    <t xml:space="preserve">Wooden Chair </t>
  </si>
  <si>
    <t>1998/FNF/0011</t>
  </si>
  <si>
    <t xml:space="preserve">File Rack </t>
  </si>
  <si>
    <t>1998/FNF/0038</t>
  </si>
  <si>
    <t xml:space="preserve">Almirah Large </t>
  </si>
  <si>
    <t>1999/FNF/0001</t>
  </si>
  <si>
    <t xml:space="preserve">Wangda </t>
  </si>
  <si>
    <t>Steel Almirah Small</t>
  </si>
  <si>
    <t>1986/FNF/0003</t>
  </si>
  <si>
    <t>Dawa Wangmo</t>
  </si>
  <si>
    <t xml:space="preserve">Full Table Sceretrate </t>
  </si>
  <si>
    <t xml:space="preserve">Tashi Yangden </t>
  </si>
  <si>
    <t>File rack (4 nos)</t>
  </si>
  <si>
    <t xml:space="preserve">Wooden File rack </t>
  </si>
  <si>
    <t xml:space="preserve">TV Stand </t>
  </si>
  <si>
    <t xml:space="preserve">Wooden stool </t>
  </si>
  <si>
    <t xml:space="preserve">Dressing Mirror </t>
  </si>
  <si>
    <t xml:space="preserve">Steel Rack </t>
  </si>
  <si>
    <t>No code 40</t>
  </si>
  <si>
    <t>SAN BDR GURUNG</t>
  </si>
  <si>
    <t>Samtse PO</t>
  </si>
  <si>
    <t>Wooden Chair</t>
  </si>
  <si>
    <t>No Code 16</t>
  </si>
  <si>
    <t>No Code 17</t>
  </si>
  <si>
    <t>No code 29</t>
  </si>
  <si>
    <t>JiT BDR RAI</t>
  </si>
  <si>
    <t>No Code 21</t>
  </si>
  <si>
    <t>Computer Table</t>
  </si>
  <si>
    <t>No Code 27</t>
  </si>
  <si>
    <t>No Code 28</t>
  </si>
  <si>
    <t>Godrej Cash Box</t>
  </si>
  <si>
    <t>2010/EQP/0031</t>
  </si>
  <si>
    <t>Attendent Steel Chair</t>
  </si>
  <si>
    <t>No Code 33</t>
  </si>
  <si>
    <t>SaN BDR GURUNG</t>
  </si>
  <si>
    <t>Counter</t>
  </si>
  <si>
    <t>Mangal Dhoj Rai</t>
  </si>
  <si>
    <t>Tashicholing PO</t>
  </si>
  <si>
    <t>Big Almirah Steel</t>
  </si>
  <si>
    <t>NO CODE</t>
  </si>
  <si>
    <t>Ugyen Tshering</t>
  </si>
  <si>
    <t>Small Almirah Steel</t>
  </si>
  <si>
    <t>Letter Sorting Box</t>
  </si>
  <si>
    <t>Letter box</t>
  </si>
  <si>
    <t>no code 23</t>
  </si>
  <si>
    <t>Table</t>
  </si>
  <si>
    <t xml:space="preserve">NO CODE 4 </t>
  </si>
  <si>
    <t>table</t>
  </si>
  <si>
    <t>NO CODE 5</t>
  </si>
  <si>
    <t>NO CODE 6</t>
  </si>
  <si>
    <t>Chair Revoling half back(old)</t>
  </si>
  <si>
    <t>NO CODE 7</t>
  </si>
  <si>
    <t>wooden chair</t>
  </si>
  <si>
    <t>NO CODE 12</t>
  </si>
  <si>
    <t>NO CODE 13</t>
  </si>
  <si>
    <t>NO CODE 14</t>
  </si>
  <si>
    <t>NO CODE 15</t>
  </si>
  <si>
    <t>Tashi Dorji</t>
  </si>
  <si>
    <t>Tsimasham PO</t>
  </si>
  <si>
    <t>Letter Post Box (Red tin)</t>
  </si>
  <si>
    <t>No Code 11</t>
  </si>
  <si>
    <t>Saran Kr, Gurung</t>
  </si>
  <si>
    <t>L/zingkha PO</t>
  </si>
  <si>
    <t>Shorting Box</t>
  </si>
  <si>
    <t>(BP/WR/PO/GT/SC-01)</t>
  </si>
  <si>
    <t xml:space="preserve">Tharka Main Biswa </t>
  </si>
  <si>
    <t>Gomtu PO</t>
  </si>
  <si>
    <t>Side Table(Toll)</t>
  </si>
  <si>
    <t>NO CODE - 18</t>
  </si>
  <si>
    <t>Office Counter</t>
  </si>
  <si>
    <t>1982/FNF/0002</t>
  </si>
  <si>
    <t>Half back Revolving Chair</t>
  </si>
  <si>
    <t>NO CODE 4</t>
  </si>
  <si>
    <t>Chair Visiting</t>
  </si>
  <si>
    <t>Big Table</t>
  </si>
  <si>
    <t>NO CODE 16</t>
  </si>
  <si>
    <t>HM PHOTO FRAME</t>
  </si>
  <si>
    <t>no code</t>
  </si>
  <si>
    <t>ComputerTable</t>
  </si>
  <si>
    <t>Godrej steel Table</t>
  </si>
  <si>
    <t>BP/WR/PO/GT/STH-01</t>
  </si>
  <si>
    <t>No code</t>
  </si>
  <si>
    <t xml:space="preserve">Ganesh Bdr Mongar </t>
  </si>
  <si>
    <t>Gedu PO</t>
  </si>
  <si>
    <t>Almirah Large</t>
  </si>
  <si>
    <t>2004/FNF/0001</t>
  </si>
  <si>
    <t>Singye Rinzin</t>
  </si>
  <si>
    <t>Almirah Small</t>
  </si>
  <si>
    <t>1984/FNF/0005</t>
  </si>
  <si>
    <t>Letter Box</t>
  </si>
  <si>
    <t>No Code</t>
  </si>
  <si>
    <t>Sorting Box</t>
  </si>
  <si>
    <t>Wooden Table</t>
  </si>
  <si>
    <t>2006/FNF/0075</t>
  </si>
  <si>
    <t>Table Half Secretrate</t>
  </si>
  <si>
    <t>2007/FNF/0059</t>
  </si>
  <si>
    <t>Table Wooden</t>
  </si>
  <si>
    <t>1977/FNF/0156</t>
  </si>
  <si>
    <t>WR</t>
  </si>
  <si>
    <t>Half BAck Rewolving chair</t>
  </si>
  <si>
    <t xml:space="preserve">Pema Yangchen </t>
  </si>
  <si>
    <t>Thimphu GPO</t>
  </si>
  <si>
    <t xml:space="preserve">Drawer Cabinet WCCL </t>
  </si>
  <si>
    <t>DECHEN WANGMO</t>
  </si>
  <si>
    <t xml:space="preserve">Medium Working Table </t>
  </si>
  <si>
    <t>2013/FNF/0039</t>
  </si>
  <si>
    <t>Chair with cusion</t>
  </si>
  <si>
    <t>UGYEN WANGMO</t>
  </si>
  <si>
    <t>Wangdue PO</t>
  </si>
  <si>
    <t xml:space="preserve">Chair with cusion </t>
  </si>
  <si>
    <t>wooden file rack</t>
  </si>
  <si>
    <t>2003/FNF/0028</t>
  </si>
  <si>
    <t>Metal File rack</t>
  </si>
  <si>
    <t>1986/FNF/0087</t>
  </si>
  <si>
    <t xml:space="preserve">Plastic Chair </t>
  </si>
  <si>
    <t>Almirah Steel (Small)</t>
  </si>
  <si>
    <t>Sonam</t>
  </si>
  <si>
    <t>Haa PO</t>
  </si>
  <si>
    <t>Sonam Peldon</t>
  </si>
  <si>
    <t>Punakha PO</t>
  </si>
  <si>
    <t>Post Box 1</t>
  </si>
  <si>
    <t>No Codification</t>
  </si>
  <si>
    <t xml:space="preserve">Karma Wangchuk </t>
  </si>
  <si>
    <t xml:space="preserve">Paro Airport </t>
  </si>
  <si>
    <t xml:space="preserve">Chair with arm </t>
  </si>
  <si>
    <t>P/box pegion Holes (26 holes)</t>
  </si>
  <si>
    <t>Sangay Zangmo</t>
  </si>
  <si>
    <t>Paro PO</t>
  </si>
  <si>
    <t>Rack pegion Holes Wooden</t>
  </si>
  <si>
    <t>2005/FNF/0020</t>
  </si>
  <si>
    <t>Draw Cabinet</t>
  </si>
  <si>
    <t>2016/FNF/0071</t>
  </si>
  <si>
    <t>Drawer Cabinet</t>
  </si>
  <si>
    <t>2016/FNF/0072</t>
  </si>
  <si>
    <t>letter Box (Steel) 25 hole</t>
  </si>
  <si>
    <t xml:space="preserve">Thinley Yoezer </t>
  </si>
  <si>
    <t>Dzong PO</t>
  </si>
  <si>
    <t xml:space="preserve">Sorting wooden Table </t>
  </si>
  <si>
    <t>CR</t>
  </si>
  <si>
    <t>Post Box (110piegons holed)</t>
  </si>
  <si>
    <t>2004/FNF/0113</t>
  </si>
  <si>
    <t>Hari Maya Gurung</t>
  </si>
  <si>
    <t>Gelephu GPO</t>
  </si>
  <si>
    <t>Cash Box</t>
  </si>
  <si>
    <t>BP/CR/PO/ZMG/SCB-01</t>
  </si>
  <si>
    <t>Dechen Wangmo</t>
  </si>
  <si>
    <t>Steel Box</t>
  </si>
  <si>
    <t>1993/EQP/0021</t>
  </si>
  <si>
    <t>Maya Devi Baskota</t>
  </si>
  <si>
    <t>Tsirang PO</t>
  </si>
  <si>
    <t>Sonam Dorji</t>
  </si>
  <si>
    <t>Zhemgang PO</t>
  </si>
  <si>
    <t>Computer Table BBPL</t>
  </si>
  <si>
    <t xml:space="preserve">No Code </t>
  </si>
  <si>
    <t>Pema Chogay</t>
  </si>
  <si>
    <t xml:space="preserve">Computer Table </t>
  </si>
  <si>
    <t xml:space="preserve">wooden arm chair with cushion </t>
  </si>
  <si>
    <t>BP/CR/PO/ZMG/ACS-01/CIC</t>
  </si>
  <si>
    <t>BP/CR/PO/ZMG/ACS-02/CIC</t>
  </si>
  <si>
    <t xml:space="preserve">Chair Steel Armless </t>
  </si>
  <si>
    <t>1978/FNF/0017</t>
  </si>
  <si>
    <t xml:space="preserve">Old sorting Counter </t>
  </si>
  <si>
    <t>CHABI LAL</t>
  </si>
  <si>
    <t>ALMIRAL STEEL(BIG)</t>
  </si>
  <si>
    <t>SARPANG PO</t>
  </si>
  <si>
    <t>ER</t>
  </si>
  <si>
    <t>Table Computer</t>
  </si>
  <si>
    <t>2004/EQP/0063</t>
  </si>
  <si>
    <t>Phurba tshering tamang</t>
  </si>
  <si>
    <t>Samdrupjongkhar GPO</t>
  </si>
  <si>
    <t xml:space="preserve">Wooden Stool </t>
  </si>
  <si>
    <t>BP/ER/PO/SJK/SS-02</t>
  </si>
  <si>
    <t xml:space="preserve">Pegion Letter Box </t>
  </si>
  <si>
    <t>2000/FNF/0142</t>
  </si>
  <si>
    <t xml:space="preserve">Letter Sorting Table </t>
  </si>
  <si>
    <t>2004/FNF/0080</t>
  </si>
  <si>
    <t xml:space="preserve">Cash Box </t>
  </si>
  <si>
    <t>BP/ER/PO/SJK/CB-04</t>
  </si>
  <si>
    <t>BP/ER/PO/SJK/CB-01</t>
  </si>
  <si>
    <t>1984/FNF/0045</t>
  </si>
  <si>
    <t xml:space="preserve">Tshering Chophel </t>
  </si>
  <si>
    <t xml:space="preserve">Aluminum Box </t>
  </si>
  <si>
    <t>BP/ER/PO/PG/SAM-01</t>
  </si>
  <si>
    <t>Phuntsho Dorji</t>
  </si>
  <si>
    <t>Pemagathsel PO</t>
  </si>
  <si>
    <t>Sorting Case</t>
  </si>
  <si>
    <t>1979/FNF/0030</t>
  </si>
  <si>
    <t xml:space="preserve">Steel Almeria (Medium) </t>
  </si>
  <si>
    <t>1998/FNF/0001</t>
  </si>
  <si>
    <t xml:space="preserve">Norbu </t>
  </si>
  <si>
    <t>Nganglam PO</t>
  </si>
  <si>
    <t>Letter Box ( Small)</t>
  </si>
  <si>
    <t>Code 6</t>
  </si>
  <si>
    <t>Code 1</t>
  </si>
  <si>
    <t>Code 3</t>
  </si>
  <si>
    <t>Almirah Steel(Small)</t>
  </si>
  <si>
    <t>BP/ER/PO/KL/SAM-01</t>
  </si>
  <si>
    <t>Chundu Dorji</t>
  </si>
  <si>
    <t>Kanglung PO</t>
  </si>
  <si>
    <t>Jai Narayan</t>
  </si>
  <si>
    <t>Mongar PO</t>
  </si>
  <si>
    <t>Pema Yangdon</t>
  </si>
  <si>
    <t>Steel Arm Chair</t>
  </si>
  <si>
    <t>Code-20</t>
  </si>
  <si>
    <t>Kuenga Yeshi</t>
  </si>
  <si>
    <t>Gyelposhing PO</t>
  </si>
  <si>
    <t>Steel Full Set Table</t>
  </si>
  <si>
    <t>2001/FNF/0062</t>
  </si>
  <si>
    <t>2003/EQP/0038</t>
  </si>
  <si>
    <t>Code-25</t>
  </si>
  <si>
    <t>Code-26</t>
  </si>
  <si>
    <t xml:space="preserve">EQP Physicall Available but not recorded in the system  </t>
  </si>
  <si>
    <t xml:space="preserve">Southern Region </t>
  </si>
  <si>
    <t xml:space="preserve">Telephone </t>
  </si>
  <si>
    <t>2001/EQP/0143</t>
  </si>
  <si>
    <t xml:space="preserve">CPU </t>
  </si>
  <si>
    <t>2018/EQP/0128</t>
  </si>
  <si>
    <t xml:space="preserve">PCO Monitor </t>
  </si>
  <si>
    <t>CPU</t>
  </si>
  <si>
    <t>2008/EQP/0016</t>
  </si>
  <si>
    <t>BIKE BG-2-A0489</t>
  </si>
  <si>
    <t xml:space="preserve">Kinzang Norbu </t>
  </si>
  <si>
    <t>Jomotshangkha GPO</t>
  </si>
  <si>
    <t>Purser Bike Received In 2020 but Model 2019</t>
  </si>
  <si>
    <t>Fax Machine Panasonic</t>
  </si>
  <si>
    <t>2003/EQP/0036</t>
  </si>
  <si>
    <t>Bike BG-2B-0490</t>
  </si>
  <si>
    <t xml:space="preserve">Cheten Norbu </t>
  </si>
  <si>
    <t>Duksum PO</t>
  </si>
  <si>
    <t xml:space="preserve">EQP items available and recorded in ERP system but Unserviceable </t>
  </si>
  <si>
    <t xml:space="preserve">Head Quarter </t>
  </si>
  <si>
    <t xml:space="preserve">Finance </t>
  </si>
  <si>
    <t>#</t>
  </si>
  <si>
    <t>Assets</t>
  </si>
  <si>
    <t>Asset ID</t>
  </si>
  <si>
    <t>Location</t>
  </si>
  <si>
    <t>Put-in Use Date</t>
  </si>
  <si>
    <t>Custodian</t>
  </si>
  <si>
    <t>Useful Life</t>
  </si>
  <si>
    <t>Gross Value</t>
  </si>
  <si>
    <t>Salvage Value</t>
  </si>
  <si>
    <t>Depreciable Amt</t>
  </si>
  <si>
    <t>Dep per Day</t>
  </si>
  <si>
    <t>Opening Dep</t>
  </si>
  <si>
    <t>Depreciation</t>
  </si>
  <si>
    <t>Net Value</t>
  </si>
  <si>
    <t>Selvage value + Net Value</t>
  </si>
  <si>
    <t>Room Blower Heater</t>
  </si>
  <si>
    <t>2016/EQP/0105</t>
  </si>
  <si>
    <t>Finance &amp; Investment</t>
  </si>
  <si>
    <t>HARI CHANDRA BAJGAI</t>
  </si>
  <si>
    <t>Stabilizer</t>
  </si>
  <si>
    <t>2016/EQP/0119</t>
  </si>
  <si>
    <t>THINLEY TOBGAY</t>
  </si>
  <si>
    <t>2016/EQP/0122</t>
  </si>
  <si>
    <t>Room Heater</t>
  </si>
  <si>
    <t>2018/EQP/0132</t>
  </si>
  <si>
    <t>2018/EQP/0167</t>
  </si>
  <si>
    <t>LUNGTEN PEMA</t>
  </si>
  <si>
    <t>Stabilizer UPS</t>
  </si>
  <si>
    <t>2016/EQP/0118</t>
  </si>
  <si>
    <t>UGYEN CHOPHEL</t>
  </si>
  <si>
    <t>HR</t>
  </si>
  <si>
    <t>Water Boiler</t>
  </si>
  <si>
    <t>2008/EQP/0133</t>
  </si>
  <si>
    <t>Procurement</t>
  </si>
  <si>
    <t>UGYEN BIDA</t>
  </si>
  <si>
    <t>Printer HP Laserjet M607</t>
  </si>
  <si>
    <t>2018/EQP/0024</t>
  </si>
  <si>
    <t>Postal Service</t>
  </si>
  <si>
    <t>CHHIMI RINZIN</t>
  </si>
  <si>
    <t>Camera Nicon Coolpix</t>
  </si>
  <si>
    <t>2008/EQP/0001</t>
  </si>
  <si>
    <t>Design &amp; Production</t>
  </si>
  <si>
    <t>TASHI WANGCHUK</t>
  </si>
  <si>
    <t>2018/EQP/0137</t>
  </si>
  <si>
    <t>Philately Sales</t>
  </si>
  <si>
    <t>ICT</t>
  </si>
  <si>
    <t>FAX MACHINE</t>
  </si>
  <si>
    <t>2016/EQP/0223</t>
  </si>
  <si>
    <t>SONAM PELDON</t>
  </si>
  <si>
    <t>2016/EQP/0224</t>
  </si>
  <si>
    <t>MUSLADY D2</t>
  </si>
  <si>
    <t>2019/EQP/0101</t>
  </si>
  <si>
    <t>Western Region (Thimphu)</t>
  </si>
  <si>
    <t>Printer HP</t>
  </si>
  <si>
    <t>2008/EQP/0112</t>
  </si>
  <si>
    <t>RINCHEN DORJI</t>
  </si>
  <si>
    <t>Scanner Barcode</t>
  </si>
  <si>
    <t>2013/EQP/0147</t>
  </si>
  <si>
    <t>2013/EQP/0148</t>
  </si>
  <si>
    <t>Printer HP Laserjet</t>
  </si>
  <si>
    <t>2013/EQP/0167</t>
  </si>
  <si>
    <t>LHAM WANGCHUK</t>
  </si>
  <si>
    <t>Cash Counting Machine</t>
  </si>
  <si>
    <t>2016/EQP/0005</t>
  </si>
  <si>
    <t>Printer</t>
  </si>
  <si>
    <t>2017/EQP/0067</t>
  </si>
  <si>
    <t>ROOM HEATER SINGLE ROD</t>
  </si>
  <si>
    <t>2017/EQP/0002</t>
  </si>
  <si>
    <t xml:space="preserve">Wangdue </t>
  </si>
  <si>
    <t>Scanner Scan Jet 3500C</t>
  </si>
  <si>
    <t>2004/EQP/0431</t>
  </si>
  <si>
    <t>Room Heater Double Rod</t>
  </si>
  <si>
    <t>2018/EQP/0109</t>
  </si>
  <si>
    <t>2018/EQP/0110</t>
  </si>
  <si>
    <t>Weighing Digital Letter Scale</t>
  </si>
  <si>
    <t>1993/EQP/0044</t>
  </si>
  <si>
    <t>YESHEY PALDEN</t>
  </si>
  <si>
    <t>Weighing Digital Letter Scale 50kg</t>
  </si>
  <si>
    <t>2017/EQP/0062</t>
  </si>
  <si>
    <t>HP Laserjet P1108 Printer</t>
  </si>
  <si>
    <t>2015/EQP/0012</t>
  </si>
  <si>
    <t>Haa</t>
  </si>
  <si>
    <t>2004/EQP/0323</t>
  </si>
  <si>
    <t>SONAM</t>
  </si>
  <si>
    <t>2004/EQP/0324</t>
  </si>
  <si>
    <t>2006/EQP/0081</t>
  </si>
  <si>
    <t>Printer EPSON LQ 310</t>
  </si>
  <si>
    <t>2019/EQP/0003</t>
  </si>
  <si>
    <t>2018/EQP/0041</t>
  </si>
  <si>
    <t xml:space="preserve">Punakha </t>
  </si>
  <si>
    <t>Computer</t>
  </si>
  <si>
    <t>2004/EQP/0061</t>
  </si>
  <si>
    <t>2004/EQP/0429</t>
  </si>
  <si>
    <t>Printer HP laserjet 1022</t>
  </si>
  <si>
    <t>2008/EQP/0091</t>
  </si>
  <si>
    <t>Paro</t>
  </si>
  <si>
    <t>Room Heater Single Rod</t>
  </si>
  <si>
    <t>2017/EQP/0004</t>
  </si>
  <si>
    <t>SANGAY ZANGMO</t>
  </si>
  <si>
    <t>2018/EQP/0108</t>
  </si>
  <si>
    <t>2019/EQP/0137</t>
  </si>
  <si>
    <t>Digital Weighing Machine 30kg</t>
  </si>
  <si>
    <t>2020/EQP/0019</t>
  </si>
  <si>
    <t>2016/EQP/0251</t>
  </si>
  <si>
    <t>Tashichodzong PO</t>
  </si>
  <si>
    <t>THINLEY YOEZER</t>
  </si>
  <si>
    <t>Phuntsholing GPO</t>
  </si>
  <si>
    <t>2019/EQP/0035</t>
  </si>
  <si>
    <t>TASHI YANGDEN</t>
  </si>
  <si>
    <t>Telephone</t>
  </si>
  <si>
    <t>2005/EQP/0092</t>
  </si>
  <si>
    <t>YANGKI DEMA</t>
  </si>
  <si>
    <t>Telephone Beetel</t>
  </si>
  <si>
    <t>2017/EQP/0015</t>
  </si>
  <si>
    <t>PASSANG WAIBA</t>
  </si>
  <si>
    <t>2004/EQP/0450</t>
  </si>
  <si>
    <t>KELZANG TOBGAY</t>
  </si>
  <si>
    <t>2007/EQP/0070</t>
  </si>
  <si>
    <t>Photo Copy Machine</t>
  </si>
  <si>
    <t>2010/EQP/0030</t>
  </si>
  <si>
    <t>2016/EQP/0123</t>
  </si>
  <si>
    <t>1981/EQP/0005</t>
  </si>
  <si>
    <t>2003/EQP/0079</t>
  </si>
  <si>
    <t>2007/EQP/0069</t>
  </si>
  <si>
    <t>2010/EQP/0008</t>
  </si>
  <si>
    <t>2010/EQP/0029</t>
  </si>
  <si>
    <t>2012/EQP/0068</t>
  </si>
  <si>
    <t>2013/EQP/0145</t>
  </si>
  <si>
    <t>Fan Stand</t>
  </si>
  <si>
    <t>2013/EQP/0169</t>
  </si>
  <si>
    <t>2016/EQP/0010</t>
  </si>
  <si>
    <t>2016/EQP/0082</t>
  </si>
  <si>
    <t>2016/EQP/0124</t>
  </si>
  <si>
    <t>Air Condition</t>
  </si>
  <si>
    <t>2016/EQP/0178</t>
  </si>
  <si>
    <t>2018/EQP/0049</t>
  </si>
  <si>
    <t>2018/EQP/0062</t>
  </si>
  <si>
    <t>UPS</t>
  </si>
  <si>
    <t>2019/EQP/0043</t>
  </si>
  <si>
    <t>Samdrupcholing PO</t>
  </si>
  <si>
    <t>PEMA TSHERING</t>
  </si>
  <si>
    <t>2022/EQP/0011</t>
  </si>
  <si>
    <t>2022/EQP/0019</t>
  </si>
  <si>
    <t>2022/EQP/0010</t>
  </si>
  <si>
    <t>Administration</t>
  </si>
  <si>
    <t>PHURPA DORJI</t>
  </si>
  <si>
    <t>Mobile Nokia Phone with sim card</t>
  </si>
  <si>
    <t>2005/EQP/0050</t>
  </si>
  <si>
    <t>KARMA YONTEN</t>
  </si>
  <si>
    <t>Mobile Mircomak</t>
  </si>
  <si>
    <t>2012/EQP/0077</t>
  </si>
  <si>
    <t xml:space="preserve">Gedu </t>
  </si>
  <si>
    <t>2000/EQP/0039</t>
  </si>
  <si>
    <t>SINGYE RINZIN</t>
  </si>
  <si>
    <t>1978/EQP/0003</t>
  </si>
  <si>
    <t>THARKA MAN BISWA</t>
  </si>
  <si>
    <t>2018/EQP/0129</t>
  </si>
  <si>
    <t xml:space="preserve">Centrel Region </t>
  </si>
  <si>
    <t>2009/EQP/0007</t>
  </si>
  <si>
    <t>SARMILLA CHHETRI</t>
  </si>
  <si>
    <t>2009/EQP/0060</t>
  </si>
  <si>
    <t>2016/EQP/0068</t>
  </si>
  <si>
    <t>2016/EQP/0137</t>
  </si>
  <si>
    <t>2018/EQP/0045</t>
  </si>
  <si>
    <t>2001/EQP/0159</t>
  </si>
  <si>
    <t>NGAWANG LHAMO</t>
  </si>
  <si>
    <t>Printer EPSON LQ G3110</t>
  </si>
  <si>
    <t>2015/EQP/0018</t>
  </si>
  <si>
    <t>HARI MAYA GURUNG</t>
  </si>
  <si>
    <t>Printer EPSON</t>
  </si>
  <si>
    <t>2013/EQP/0185</t>
  </si>
  <si>
    <t>Bumthang PO</t>
  </si>
  <si>
    <t>DAWA GYELPO</t>
  </si>
  <si>
    <t>Printer EPSON P1108</t>
  </si>
  <si>
    <t>2018/EQP/0173</t>
  </si>
  <si>
    <t>2016/EQP/0015</t>
  </si>
  <si>
    <t>Trongsa PO</t>
  </si>
  <si>
    <t>TSHECHEY WANGMO</t>
  </si>
  <si>
    <t>2016/EQP/0094</t>
  </si>
  <si>
    <t>2016/EQP/0250</t>
  </si>
  <si>
    <t>2008/EQP/0020</t>
  </si>
  <si>
    <t>Panbang PO</t>
  </si>
  <si>
    <t>RINCHEN CHODA</t>
  </si>
  <si>
    <t>2019/EQP/0025</t>
  </si>
  <si>
    <t>UPS 800VA</t>
  </si>
  <si>
    <t>2022/EQP/0030</t>
  </si>
  <si>
    <t>1993/EQP/0041</t>
  </si>
  <si>
    <t>Sarpang PO</t>
  </si>
  <si>
    <t>CHABILAL CHAPAGAI</t>
  </si>
  <si>
    <t>2005/EQP/0052</t>
  </si>
  <si>
    <t>2013/EQP/0114</t>
  </si>
  <si>
    <t>2019/EQP/0049</t>
  </si>
  <si>
    <t>2011/EQP/0123</t>
  </si>
  <si>
    <t>BUMPA ZANGMO</t>
  </si>
  <si>
    <t>2001/EQP/0157</t>
  </si>
  <si>
    <t>Dagana PO</t>
  </si>
  <si>
    <t>SANGAY CHOZOM</t>
  </si>
  <si>
    <t>2018/EQP/0098</t>
  </si>
  <si>
    <t>1980/EQP/0004</t>
  </si>
  <si>
    <t>Dagapela PO</t>
  </si>
  <si>
    <t>INDRA BDR DHITAL</t>
  </si>
  <si>
    <t>2010/EQP/0058</t>
  </si>
  <si>
    <t>2012/EQP/0072</t>
  </si>
  <si>
    <t>2015/EQP/0022</t>
  </si>
  <si>
    <t>2018/EQP/0099</t>
  </si>
  <si>
    <t xml:space="preserve">Central Region </t>
  </si>
  <si>
    <t>Sandrup Jongkhar GPO</t>
  </si>
  <si>
    <t>1993/EQP/0039</t>
  </si>
  <si>
    <t>Samdrup Jongkhar GPO</t>
  </si>
  <si>
    <t>PEMA DEKI</t>
  </si>
  <si>
    <t>Laptop</t>
  </si>
  <si>
    <t>2016/EQP/0054</t>
  </si>
  <si>
    <t>2016/EQP/0145</t>
  </si>
  <si>
    <t>2018/EQP/0027</t>
  </si>
  <si>
    <t>STABILIZER</t>
  </si>
  <si>
    <t>2018/EQP/0163</t>
  </si>
  <si>
    <t>2019/EQP/0039</t>
  </si>
  <si>
    <t>2019/EQP/0045</t>
  </si>
  <si>
    <t>DORJI CHOZOM</t>
  </si>
  <si>
    <t>2001/EQP/0169</t>
  </si>
  <si>
    <t>Trashigang PO</t>
  </si>
  <si>
    <t>THINLEY ZANGMO</t>
  </si>
  <si>
    <t>2009/EQP/0065</t>
  </si>
  <si>
    <t>Printer HP laserjet M12A</t>
  </si>
  <si>
    <t>2018/EQP/0082</t>
  </si>
  <si>
    <t>2009/EQP/0047</t>
  </si>
  <si>
    <t>2018/EQP/0018</t>
  </si>
  <si>
    <t>Jomotshangkha PO</t>
  </si>
  <si>
    <t>KINZANG NORBU</t>
  </si>
  <si>
    <t>2022/EQP/0031</t>
  </si>
  <si>
    <t>2005/EQP/0099</t>
  </si>
  <si>
    <t>Pemagatshel PO</t>
  </si>
  <si>
    <t>PHUNTSHO DORJI</t>
  </si>
  <si>
    <t>2015/EQP/0021</t>
  </si>
  <si>
    <t>2018/EQP/0029</t>
  </si>
  <si>
    <t>TSHERING CHOPHEL</t>
  </si>
  <si>
    <t>2018/EQP/0113</t>
  </si>
  <si>
    <t>2016/EQP/0222</t>
  </si>
  <si>
    <t>2018/EQP/0066</t>
  </si>
  <si>
    <t>2019/EQP/0028</t>
  </si>
  <si>
    <t>Rangjung PO</t>
  </si>
  <si>
    <t>KINZANG THINLEY</t>
  </si>
  <si>
    <t>2016/EQP/0135</t>
  </si>
  <si>
    <t>Trashiyangtse PO</t>
  </si>
  <si>
    <t>PEMA DORJI</t>
  </si>
  <si>
    <t>2018/EQP/0121</t>
  </si>
  <si>
    <t>2018/EQP/0122</t>
  </si>
  <si>
    <t>2000/EQP/0043</t>
  </si>
  <si>
    <t>CHUNDU DORJI</t>
  </si>
  <si>
    <t>2015/EQP/0041</t>
  </si>
  <si>
    <t>Doksum PO</t>
  </si>
  <si>
    <t>CHETEN NORBU</t>
  </si>
  <si>
    <t>2016/EQP/0136</t>
  </si>
  <si>
    <t>2004/EQP/0320</t>
  </si>
  <si>
    <t>PEMA YANGDON</t>
  </si>
  <si>
    <t>2007/EQP/0049</t>
  </si>
  <si>
    <t>Fax Machine</t>
  </si>
  <si>
    <t>2003/EQP/0010</t>
  </si>
  <si>
    <t>Wamrong PO</t>
  </si>
  <si>
    <t>NETEN DORJI</t>
  </si>
  <si>
    <t>2016/EQP/0017</t>
  </si>
  <si>
    <t>Room Pannel Heater</t>
  </si>
  <si>
    <t>2018/EQP/0160</t>
  </si>
  <si>
    <t>2019/EQP/0138</t>
  </si>
  <si>
    <t>2016/EQP/0142</t>
  </si>
  <si>
    <t>2016/EQP/0146</t>
  </si>
  <si>
    <t>Lhuntse PO</t>
  </si>
  <si>
    <t>UGYEN</t>
  </si>
  <si>
    <t xml:space="preserve">FNF items available and recorded in ERP system but Unserviceable </t>
  </si>
  <si>
    <t xml:space="preserve">Western Region </t>
  </si>
  <si>
    <t>Table Date Stamp</t>
  </si>
  <si>
    <t>1979/FNF/0028</t>
  </si>
  <si>
    <t>Chair</t>
  </si>
  <si>
    <t>1980/FNF/0005</t>
  </si>
  <si>
    <t>1980/FNF/0029</t>
  </si>
  <si>
    <t>1981/FNF/0014</t>
  </si>
  <si>
    <t>1984/FNF/0016</t>
  </si>
  <si>
    <t>Rack File</t>
  </si>
  <si>
    <t>1985/FNF/0018</t>
  </si>
  <si>
    <t>1987/FNF/0003</t>
  </si>
  <si>
    <t>Chair Revolving</t>
  </si>
  <si>
    <t>2002/FNF/0017</t>
  </si>
  <si>
    <t>Chair Revolving Half Back</t>
  </si>
  <si>
    <t>2015/FNF/0047</t>
  </si>
  <si>
    <t>1983/FNF/0017</t>
  </si>
  <si>
    <t>2009/FNF/0005</t>
  </si>
  <si>
    <t>Chair Half Back Revolving</t>
  </si>
  <si>
    <t>2017/FNF/0055</t>
  </si>
  <si>
    <t>1979/FNF/0048</t>
  </si>
  <si>
    <t>1984/FNF/0004</t>
  </si>
  <si>
    <t>2002/FNF/0011</t>
  </si>
  <si>
    <t>Chair Revolving Full Back</t>
  </si>
  <si>
    <t>2018/FNF/0100</t>
  </si>
  <si>
    <t>Gasa PO</t>
  </si>
  <si>
    <t>UGYEN PHUNTSHO</t>
  </si>
  <si>
    <t>Trolly Steel</t>
  </si>
  <si>
    <t>2020/FNF/0002</t>
  </si>
  <si>
    <t>2020/FNF/0003</t>
  </si>
  <si>
    <t>2003/FNF/0010</t>
  </si>
  <si>
    <t>TASHI DORJI</t>
  </si>
  <si>
    <t>2020/FNF/0061</t>
  </si>
  <si>
    <t>Lhamoizingkha PO</t>
  </si>
  <si>
    <t>SARAN KUMAR GURUNG</t>
  </si>
  <si>
    <t>File Rack</t>
  </si>
  <si>
    <t>2018/FNF/0132</t>
  </si>
  <si>
    <t>2018/FNF/0147</t>
  </si>
  <si>
    <t>1983/FNF/0023</t>
  </si>
  <si>
    <t>1979/FNF/0041</t>
  </si>
  <si>
    <t>Chair Steel</t>
  </si>
  <si>
    <t>2005/FNF/0004</t>
  </si>
  <si>
    <t>Table Steel</t>
  </si>
  <si>
    <t>1984/FNF/0042</t>
  </si>
  <si>
    <t>Table Sorting</t>
  </si>
  <si>
    <t>1978/FNF/0037</t>
  </si>
  <si>
    <t>1984/FNF/0002</t>
  </si>
  <si>
    <t>Rack Show Case</t>
  </si>
  <si>
    <t>1998/FNF/0026</t>
  </si>
  <si>
    <t>2015/FNF/0092</t>
  </si>
  <si>
    <t>2017/FNF/0097</t>
  </si>
  <si>
    <t>2020/FNF/0046</t>
  </si>
  <si>
    <t>1984/FNF/0021</t>
  </si>
  <si>
    <t>2014/FNF/0021</t>
  </si>
  <si>
    <t>RINCHEN TSHERING</t>
  </si>
  <si>
    <t>2021/FNF/0001</t>
  </si>
  <si>
    <t>1979/FNF/0045</t>
  </si>
  <si>
    <t>2015/FNF/0041</t>
  </si>
  <si>
    <t>NORBU</t>
  </si>
  <si>
    <t>1993/FNF/0003</t>
  </si>
  <si>
    <t>2008/FNF/0059</t>
  </si>
  <si>
    <t>Visiting Chair</t>
  </si>
  <si>
    <t>1999/FNF/0020</t>
  </si>
  <si>
    <t>1999/FNF/0021</t>
  </si>
  <si>
    <t>1999/FNF/0022</t>
  </si>
  <si>
    <t>1999/FNF/0023</t>
  </si>
  <si>
    <t>Table Sunmica Top</t>
  </si>
  <si>
    <t>2002/FNF/0027</t>
  </si>
  <si>
    <t>2007/FNF/0023</t>
  </si>
  <si>
    <t>2007/FNF/0024</t>
  </si>
  <si>
    <t>1998/FNF/0030</t>
  </si>
  <si>
    <t>Unserviceable Grant</t>
  </si>
  <si>
    <t>Barcode Reader</t>
  </si>
  <si>
    <t>2016/GRA/0006</t>
  </si>
  <si>
    <t>EMERGENCY FLASH LIGHT</t>
  </si>
  <si>
    <t>2020/GRA/0096</t>
  </si>
  <si>
    <t>FIRST AID KITS</t>
  </si>
  <si>
    <t>2020/GRA/0146</t>
  </si>
  <si>
    <t>2020/GRA/0097</t>
  </si>
  <si>
    <t>2020/GRA/0095</t>
  </si>
  <si>
    <t>2016/GRA/0020</t>
  </si>
  <si>
    <t>LHAMO</t>
  </si>
  <si>
    <t>2018/GRA/0031</t>
  </si>
  <si>
    <t>2016/GRA/0015</t>
  </si>
  <si>
    <t>2016/GRA/0060</t>
  </si>
  <si>
    <t>2018/GRA/0025</t>
  </si>
  <si>
    <t>2016/GRA/0071</t>
  </si>
  <si>
    <t>2018/GRA/0020</t>
  </si>
  <si>
    <t>2020/GRA/0114</t>
  </si>
  <si>
    <t>2016/GRA/0003</t>
  </si>
  <si>
    <t>2020/GRA/0107</t>
  </si>
  <si>
    <t xml:space="preserve">Eastern Region </t>
  </si>
  <si>
    <t>2016/GRA/0009</t>
  </si>
  <si>
    <t>2016/GRA/0011</t>
  </si>
  <si>
    <t>USP</t>
  </si>
  <si>
    <t>2016/GRA/0017</t>
  </si>
  <si>
    <t>2016/GRA/0018</t>
  </si>
  <si>
    <t>2018/GRA/0013</t>
  </si>
  <si>
    <t>2018/GRA/0015</t>
  </si>
  <si>
    <t>2020/GRA/0121</t>
  </si>
  <si>
    <t>2020/GRA/0171</t>
  </si>
  <si>
    <t>2016/GRA/0039</t>
  </si>
  <si>
    <t>2018/GRA/0014</t>
  </si>
  <si>
    <t>2020/GRA/0126</t>
  </si>
  <si>
    <t>2020/GRA/0176</t>
  </si>
  <si>
    <t>2016/GRA/0027</t>
  </si>
  <si>
    <t>2018/GRA/0016</t>
  </si>
  <si>
    <t>2016/GRA/0067</t>
  </si>
  <si>
    <t>KUENGA YESHI</t>
  </si>
  <si>
    <t>Zebra Printer</t>
  </si>
  <si>
    <t>2016/GRA/0047</t>
  </si>
  <si>
    <t xml:space="preserve">Surrendered EQP Items </t>
  </si>
  <si>
    <t xml:space="preserve">Salvage + Net Value </t>
  </si>
  <si>
    <t>Status</t>
  </si>
  <si>
    <t>1994/EQP/0029</t>
  </si>
  <si>
    <t>Surrender</t>
  </si>
  <si>
    <t>2000/EQP/0026</t>
  </si>
  <si>
    <t>2001/EQP/0100</t>
  </si>
  <si>
    <t>2001/EQP/0160</t>
  </si>
  <si>
    <t>2003/EQP/0018</t>
  </si>
  <si>
    <t>2004/EQP/0424</t>
  </si>
  <si>
    <t>2005/EQP/0043</t>
  </si>
  <si>
    <t>2007/EQP/0060</t>
  </si>
  <si>
    <t>2008/EQP/0018</t>
  </si>
  <si>
    <t>2008/EQP/0066</t>
  </si>
  <si>
    <t>2009/EQP/0013</t>
  </si>
  <si>
    <t>2009/EQP/0026</t>
  </si>
  <si>
    <t>2009/EQP/0027</t>
  </si>
  <si>
    <t>2009/EQP/0067</t>
  </si>
  <si>
    <t>2010/EQP/0006</t>
  </si>
  <si>
    <t>2010/EQP/0007</t>
  </si>
  <si>
    <t>2010/EQP/0012</t>
  </si>
  <si>
    <t>2011/EQP/0021</t>
  </si>
  <si>
    <t>2011/EQP/0025</t>
  </si>
  <si>
    <t>2011/EQP/0105</t>
  </si>
  <si>
    <t>2011/EQP/0119</t>
  </si>
  <si>
    <t>2011/EQP/0144</t>
  </si>
  <si>
    <t>2012/EQP/0005</t>
  </si>
  <si>
    <t>2012/EQP/0008</t>
  </si>
  <si>
    <t>2012/EQP/0010</t>
  </si>
  <si>
    <t>2012/EQP/0036</t>
  </si>
  <si>
    <t>2013/EQP/0146</t>
  </si>
  <si>
    <t>2014/EQP/0010</t>
  </si>
  <si>
    <t>Scanner</t>
  </si>
  <si>
    <t>2014/EQP/0018</t>
  </si>
  <si>
    <t>2014/EQP/0025</t>
  </si>
  <si>
    <t>2016/EQP/0004</t>
  </si>
  <si>
    <t>2016/EQP/0013</t>
  </si>
  <si>
    <t>2016/EQP/0041</t>
  </si>
  <si>
    <t>2016/EQP/0042</t>
  </si>
  <si>
    <t>2016/EQP/0066</t>
  </si>
  <si>
    <t>2016/EQP/0069</t>
  </si>
  <si>
    <t>2016/EQP/0088</t>
  </si>
  <si>
    <t>2016/EQP/0092</t>
  </si>
  <si>
    <t>2016/EQP/0098</t>
  </si>
  <si>
    <t>2016/EQP/0109</t>
  </si>
  <si>
    <t>2016/EQP/0110</t>
  </si>
  <si>
    <t>2016/EQP/0112</t>
  </si>
  <si>
    <t>2016/EQP/0120</t>
  </si>
  <si>
    <t>2016/EQP/0167</t>
  </si>
  <si>
    <t>2016/EQP/0171</t>
  </si>
  <si>
    <t>2016/EQP/0177</t>
  </si>
  <si>
    <t>Barcode Scanner</t>
  </si>
  <si>
    <t>2016/EQP/0205</t>
  </si>
  <si>
    <t>2016/EQP/0221</t>
  </si>
  <si>
    <t>2017/EQP/0001</t>
  </si>
  <si>
    <t>2017/EQP/0003</t>
  </si>
  <si>
    <t>2017/EQP/0005</t>
  </si>
  <si>
    <t>2017/EQP/0006</t>
  </si>
  <si>
    <t>2017/EQP/0011</t>
  </si>
  <si>
    <t>2017/EQP/0013</t>
  </si>
  <si>
    <t>2017/EQP/0014</t>
  </si>
  <si>
    <t>2017/EQP/0029</t>
  </si>
  <si>
    <t>Laptop Dell</t>
  </si>
  <si>
    <t>2017/EQP/0068</t>
  </si>
  <si>
    <t>Room Heater Quartz</t>
  </si>
  <si>
    <t>2017/EQP/0074</t>
  </si>
  <si>
    <t>Adopter</t>
  </si>
  <si>
    <t>2018/EQP/0010</t>
  </si>
  <si>
    <t>Weighing Scale</t>
  </si>
  <si>
    <t>2018/EQP/0011</t>
  </si>
  <si>
    <t>2018/EQP/0016</t>
  </si>
  <si>
    <t>2018/EQP/0032</t>
  </si>
  <si>
    <t>2018/EQP/0051</t>
  </si>
  <si>
    <t>2018/EQP/0070</t>
  </si>
  <si>
    <t>2018/EQP/0073</t>
  </si>
  <si>
    <t>2018/EQP/0100</t>
  </si>
  <si>
    <t>2018/EQP/0101</t>
  </si>
  <si>
    <t>2018/EQP/0102</t>
  </si>
  <si>
    <t>2018/EQP/0103</t>
  </si>
  <si>
    <t>2018/EQP/0104</t>
  </si>
  <si>
    <t>2018/EQP/0105</t>
  </si>
  <si>
    <t>2018/EQP/0106</t>
  </si>
  <si>
    <t>2018/EQP/0107</t>
  </si>
  <si>
    <t>2018/EQP/0136</t>
  </si>
  <si>
    <t>Room Rod Heater</t>
  </si>
  <si>
    <t>2018/EQP/0139</t>
  </si>
  <si>
    <t>2018/EQP/0140</t>
  </si>
  <si>
    <t>2018/EQP/0141</t>
  </si>
  <si>
    <t>2018/EQP/0155</t>
  </si>
  <si>
    <t>Computer Desktop core i5</t>
  </si>
  <si>
    <t>2018/EQP/0169</t>
  </si>
  <si>
    <t>2018/EQP/0197</t>
  </si>
  <si>
    <t>2018/EQP/0201</t>
  </si>
  <si>
    <t>2019/EQP/0017</t>
  </si>
  <si>
    <t>2019/EQP/0018</t>
  </si>
  <si>
    <t>2019/EQP/0022</t>
  </si>
  <si>
    <t>2019/EQP/0036</t>
  </si>
  <si>
    <t>2019/EQP/0093</t>
  </si>
  <si>
    <t>Rod Heater</t>
  </si>
  <si>
    <t>2020/EQP/0026</t>
  </si>
  <si>
    <t>2021/EQP/0008</t>
  </si>
  <si>
    <t>2022/EQP/0002</t>
  </si>
  <si>
    <t>PRINTER EPSON LQ 310</t>
  </si>
  <si>
    <t>2016/EQP/0099</t>
  </si>
  <si>
    <t>2016/EQP/0140</t>
  </si>
  <si>
    <t>2016/GRA/0057</t>
  </si>
  <si>
    <t>2016/GRA/0062</t>
  </si>
  <si>
    <t>2016/GRA/0069</t>
  </si>
  <si>
    <t>2016/GRA/0072</t>
  </si>
  <si>
    <t>2018/GRA/0003</t>
  </si>
  <si>
    <t>2018/GRA/0004</t>
  </si>
  <si>
    <t>2018/GRA/0019</t>
  </si>
  <si>
    <t xml:space="preserve">Surrendered FNF Items 														</t>
  </si>
  <si>
    <t>1986/FNF/0010</t>
  </si>
  <si>
    <t>1995/FNF/0019</t>
  </si>
  <si>
    <t>2006/FNF/0065</t>
  </si>
  <si>
    <t>Full Back Chair Revolving</t>
  </si>
  <si>
    <t>2016/FNF/0046</t>
  </si>
  <si>
    <t xml:space="preserve">Tally Software for disposal </t>
  </si>
  <si>
    <t>Sl. No.</t>
  </si>
  <si>
    <t>Software Tally PARO Serial No. 755550945</t>
  </si>
  <si>
    <t>2017/SOF/0004</t>
  </si>
  <si>
    <t>23/06/2017</t>
  </si>
  <si>
    <t>Software Tally PHUA Serial No. 765028584</t>
  </si>
  <si>
    <t>2018/SOF/0001</t>
  </si>
  <si>
    <t>16/08/2018</t>
  </si>
  <si>
    <t>DAWA</t>
  </si>
  <si>
    <t>Software Tally GEDU Serial No. 756621090</t>
  </si>
  <si>
    <t>2019/SOF/0001</t>
  </si>
  <si>
    <t>26/06/2019</t>
  </si>
  <si>
    <t>GANESH BDR. MONGAR</t>
  </si>
  <si>
    <t>Software Tally GMTU Serial No. 746621091</t>
  </si>
  <si>
    <t>2019/SOF/0002</t>
  </si>
  <si>
    <t>Software Tally LHAM Serial No. 736621092</t>
  </si>
  <si>
    <t>2019/SOF/0003</t>
  </si>
  <si>
    <t>Software Tally SAMA Serial No. 726621093</t>
  </si>
  <si>
    <t>2019/SOF/0004</t>
  </si>
  <si>
    <t>Software Tally TCHG Serial No. 716621094</t>
  </si>
  <si>
    <t>2019/SOF/0005</t>
  </si>
  <si>
    <t>Trashicholing PO</t>
  </si>
  <si>
    <t>UGYEN TSHERING</t>
  </si>
  <si>
    <t>Software Tally TSMA Serial No. 796621095</t>
  </si>
  <si>
    <t>2019/SOF/0006</t>
  </si>
  <si>
    <t>Software Tally JOMO Serial No. 796653018</t>
  </si>
  <si>
    <t>2019/SOF/0007</t>
  </si>
  <si>
    <t>Software Tally NGLM Serial No. 786653019</t>
  </si>
  <si>
    <t>2019/SOF/0008</t>
  </si>
  <si>
    <t>Software Tally DEOT Serial No. 776653020</t>
  </si>
  <si>
    <t>2019/SOF/0009</t>
  </si>
  <si>
    <t>Software Tally SAMC Serial No. 766653021</t>
  </si>
  <si>
    <t>2019/SOF/0010</t>
  </si>
  <si>
    <t>Software Tally PEMA Serial no. 756653022</t>
  </si>
  <si>
    <t>2019/SOF/0011</t>
  </si>
  <si>
    <t>14/09/2019</t>
  </si>
  <si>
    <t>Software Tally GYPG Serial No. 746653023</t>
  </si>
  <si>
    <t>2019/SOF/0012</t>
  </si>
  <si>
    <t>17/10/2019</t>
  </si>
  <si>
    <t>Software Tally MONA Serial No. 736653024</t>
  </si>
  <si>
    <t>2019/SOF/0013</t>
  </si>
  <si>
    <t>19/10/2019</t>
  </si>
  <si>
    <t>Software Tally LUNT Serial No. 726653025</t>
  </si>
  <si>
    <t>2019/SOF/0014</t>
  </si>
  <si>
    <t>Software Tally TRAG Serial no. 716653026</t>
  </si>
  <si>
    <t>2019/SOF/0015</t>
  </si>
  <si>
    <t>20/10/2019</t>
  </si>
  <si>
    <t>Software Tally TYSE Serial No. 796653027</t>
  </si>
  <si>
    <t>2019/SOF/0016</t>
  </si>
  <si>
    <t>Software Tally DUSM Serial No. 786653028</t>
  </si>
  <si>
    <t>2019/SOF/0017</t>
  </si>
  <si>
    <t>Software Tally WRMG Serial No. 776653029</t>
  </si>
  <si>
    <t>2019/SOF/0018</t>
  </si>
  <si>
    <t>Software Tally KNLG Serial No. 766653030</t>
  </si>
  <si>
    <t>2019/SOF/0019</t>
  </si>
  <si>
    <t>Software Tally HAA Serial No. 756653031</t>
  </si>
  <si>
    <t>2019/SOF/0020</t>
  </si>
  <si>
    <t>27/11/2019</t>
  </si>
  <si>
    <t>Software Tally SJKA Serial No. 785559816</t>
  </si>
  <si>
    <t>2019/SOF/0035</t>
  </si>
  <si>
    <t>Software Tally PUNA Serial No. 786621096</t>
  </si>
  <si>
    <t>2019/SOF/0036</t>
  </si>
  <si>
    <t>25/11/2019</t>
  </si>
  <si>
    <t>Software Tally WANG Serial No. 776621097</t>
  </si>
  <si>
    <t>2019/SOF/0037</t>
  </si>
  <si>
    <t>26/11/2019</t>
  </si>
  <si>
    <t>Software Tally GELA Serial No. 775559817</t>
  </si>
  <si>
    <t>2020/SOF/0001</t>
  </si>
  <si>
    <t>20/01/2019</t>
  </si>
  <si>
    <t>Software Tally DGNA Serial No. 746653086</t>
  </si>
  <si>
    <t>2020/SOF/0002</t>
  </si>
  <si>
    <t>15/01/2020</t>
  </si>
  <si>
    <t>Software Tally TSIR Serial No. 736653087</t>
  </si>
  <si>
    <t>2020/SOF/0004</t>
  </si>
  <si>
    <t>17/01/2020</t>
  </si>
  <si>
    <t>MAYA DEVI BASKOTA</t>
  </si>
  <si>
    <t>Software Tally SARA Serial No. 726653088</t>
  </si>
  <si>
    <t>2020/SOF/0006</t>
  </si>
  <si>
    <t>18/01/2020</t>
  </si>
  <si>
    <t>Software Tally PANG Serial No. 716653089</t>
  </si>
  <si>
    <t>2020/SOF/0008</t>
  </si>
  <si>
    <t>24/01/2020</t>
  </si>
  <si>
    <t>Software Tally ZEMG Serial No. 796653090</t>
  </si>
  <si>
    <t>2020/SOF/0010</t>
  </si>
  <si>
    <t>25/01/2020</t>
  </si>
  <si>
    <t>SONAM DORJI</t>
  </si>
  <si>
    <t>Software Tally TRON Serial No. 786653091</t>
  </si>
  <si>
    <t>2020/SOF/0012</t>
  </si>
  <si>
    <t>26/01/2020</t>
  </si>
  <si>
    <t>Software Tally CHMY Serial No. 776653092</t>
  </si>
  <si>
    <t>2020/SOF/0014</t>
  </si>
  <si>
    <t>27/01/2020</t>
  </si>
  <si>
    <t>Software Tally BUMA Serial No. 766653093</t>
  </si>
  <si>
    <t>2020/SOF/0016</t>
  </si>
  <si>
    <t>Software Tally TING Serial No. 746653095</t>
  </si>
  <si>
    <t>2020/SOF/0018</t>
  </si>
  <si>
    <t>Software Tally GASA Serial No. 736653096</t>
  </si>
  <si>
    <t>2020/SOF/0020</t>
  </si>
  <si>
    <t>22/04/2020</t>
  </si>
  <si>
    <t>Software Tally DPLA Serial No. 726653097</t>
  </si>
  <si>
    <t>2020/SOF/0022</t>
  </si>
  <si>
    <t>Software Tally KHAI Serial No. 786653100</t>
  </si>
  <si>
    <t>2020/SOF/0024</t>
  </si>
  <si>
    <t>30/04/2020</t>
  </si>
  <si>
    <t>Software Tally RJNG Serial No. 756653094</t>
  </si>
  <si>
    <t>2020/SOF/0026</t>
  </si>
  <si>
    <t>Software Tally PARO Airport Serial No. 796653099</t>
  </si>
  <si>
    <t>2022/SOF/0001</t>
  </si>
  <si>
    <t>18/04/2021</t>
  </si>
  <si>
    <t>KARMA WANGCHUK</t>
  </si>
  <si>
    <t>Software Tally CNF PKHA Serial No. 726653079</t>
  </si>
  <si>
    <t>2022/SOF/0003</t>
  </si>
  <si>
    <t>Software Tally CNF PHUA Serial No. 716653080</t>
  </si>
  <si>
    <t>2022/SOF/0005</t>
  </si>
  <si>
    <t>Software Tally DZNG Serial No. 716653098</t>
  </si>
  <si>
    <t>2021/SOF/0002</t>
  </si>
  <si>
    <t>16/07/2021</t>
  </si>
  <si>
    <t>RUIS KUMAR GHALLEY</t>
  </si>
  <si>
    <t xml:space="preserve">EQP Physicall not Available but recorded in the system  </t>
  </si>
  <si>
    <t xml:space="preserve">Salvage + net value </t>
  </si>
  <si>
    <t>2016/EQP/0064</t>
  </si>
  <si>
    <t>KEZANG CHODEN</t>
  </si>
  <si>
    <t>2010/EQP/0013</t>
  </si>
  <si>
    <t>NIMA ZANGMO</t>
  </si>
  <si>
    <t>Tracker Device</t>
  </si>
  <si>
    <t>2018/EQP/0176</t>
  </si>
  <si>
    <t>2018/EQP/0177</t>
  </si>
  <si>
    <t>SR</t>
  </si>
  <si>
    <t>2018/EQP/0179</t>
  </si>
  <si>
    <t>CHANDRA BAHADUR SUBBA</t>
  </si>
  <si>
    <t xml:space="preserve">FNF Physicall not Available but recorded in the system  </t>
  </si>
  <si>
    <t>BIKE BG-29172</t>
  </si>
  <si>
    <t>2010/GRA/0002</t>
  </si>
  <si>
    <t>JIT BDR RAI</t>
  </si>
  <si>
    <t>BIKE BG-2A-0396</t>
  </si>
  <si>
    <t>2010/GRA/0003</t>
  </si>
  <si>
    <t>BIKE BG-2A-0394</t>
  </si>
  <si>
    <t>2010/GRA/0005</t>
  </si>
  <si>
    <t>KARMA DUPCHU</t>
  </si>
  <si>
    <t>2010/GRA/0008</t>
  </si>
  <si>
    <t>BIKE BG-2A-0490</t>
  </si>
  <si>
    <t>2010/GRA/0007</t>
  </si>
  <si>
    <t>Tally Software Writeoff</t>
  </si>
  <si>
    <t>Salvage + Net Value</t>
  </si>
  <si>
    <t>Software Customization &amp; Implementation</t>
  </si>
  <si>
    <t>2017/SOF/0001</t>
  </si>
  <si>
    <t>27/11/2017</t>
  </si>
  <si>
    <t>Software Tally User Licence Connectivity</t>
  </si>
  <si>
    <t>2017/SOF/0005</t>
  </si>
  <si>
    <t>2019/SOF/0021</t>
  </si>
  <si>
    <t>2019/SOF/0022</t>
  </si>
  <si>
    <t>2019/SOF/0023</t>
  </si>
  <si>
    <t>2019/SOF/0024</t>
  </si>
  <si>
    <t>2019/SOF/0025</t>
  </si>
  <si>
    <t>2019/SOF/0026</t>
  </si>
  <si>
    <t>2019/SOF/0027</t>
  </si>
  <si>
    <t>2019/SOF/0028</t>
  </si>
  <si>
    <t>2019/SOF/0029</t>
  </si>
  <si>
    <t>2019/SOF/0030</t>
  </si>
  <si>
    <t>2019/SOF/0031</t>
  </si>
  <si>
    <t>2019/SOF/0032</t>
  </si>
  <si>
    <t>2019/SOF/0033</t>
  </si>
  <si>
    <t>2019/SOF/0034</t>
  </si>
  <si>
    <t>2020/SOF/0003</t>
  </si>
  <si>
    <t>2020/SOF/0005</t>
  </si>
  <si>
    <t>2020/SOF/0007</t>
  </si>
  <si>
    <t>2020/SOF/0009</t>
  </si>
  <si>
    <t>2020/SOF/0011</t>
  </si>
  <si>
    <t>2020/SOF/0013</t>
  </si>
  <si>
    <t>2020/SOF/0015</t>
  </si>
  <si>
    <t>2020/SOF/0017</t>
  </si>
  <si>
    <t>2020/SOF/0019</t>
  </si>
  <si>
    <t>2020/SOF/0021</t>
  </si>
  <si>
    <t>2020/SOF/0023</t>
  </si>
  <si>
    <t>2020/SOF/0025</t>
  </si>
  <si>
    <t>30/04/2022</t>
  </si>
  <si>
    <t>2020/SOF/0027</t>
  </si>
  <si>
    <t>2022/SOF/0002</t>
  </si>
  <si>
    <t>16/06/2021</t>
  </si>
  <si>
    <t>2022/SOF/0004</t>
  </si>
  <si>
    <t>2022/SOF/0006</t>
  </si>
  <si>
    <t>2021/SOF/0003</t>
  </si>
  <si>
    <t>21/07/2021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</si>
</sst>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;(#,##0.00)"/>
    <numFmt numFmtId="165" formatCode="M/d/yyyy"/>
    <numFmt numFmtId="166" formatCode="m/d/yyyy"/>
    <numFmt numFmtId="167" formatCode="mm/dd/yyyy"/>
    <numFmt numFmtId="168" formatCode="D/M/YYYY"/>
  </numFmts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sz val="12.0"/>
      <color rgb="FF393939"/>
      <name val="Times New Roman"/>
    </font>
    <font>
      <b/>
      <sz val="11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b/>
      <color theme="1"/>
      <name val="Times New Roman"/>
    </font>
    <font>
      <sz val="12.0"/>
      <color rgb="FFFF0000"/>
      <name val="Times New Roman"/>
    </font>
    <font>
      <b/>
      <sz val="13.0"/>
      <color theme="1"/>
      <name val="Times New Roman"/>
    </font>
    <font>
      <b/>
      <sz val="11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DDDDD"/>
        <bgColor rgb="FFDDDDD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1" fillId="0" fontId="4" numFmtId="0" xfId="0" applyAlignment="1" applyBorder="1" applyFont="1">
      <alignment horizontal="right"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5" numFmtId="0" xfId="0" applyBorder="1" applyFont="1"/>
    <xf borderId="1" fillId="0" fontId="4" numFmtId="4" xfId="0" applyAlignment="1" applyBorder="1" applyFont="1" applyNumberFormat="1">
      <alignment horizontal="center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horizont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left" readingOrder="0"/>
    </xf>
    <xf borderId="2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left"/>
    </xf>
    <xf borderId="1" fillId="2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Font="1"/>
    <xf borderId="0" fillId="2" fontId="4" numFmtId="0" xfId="0" applyAlignment="1" applyFont="1">
      <alignment horizontal="left"/>
    </xf>
    <xf borderId="0" fillId="0" fontId="1" numFmtId="0" xfId="0" applyAlignment="1" applyFont="1">
      <alignment horizontal="center" readingOrder="0" shrinkToFit="0" wrapText="1"/>
    </xf>
    <xf borderId="1" fillId="2" fontId="4" numFmtId="0" xfId="0" applyAlignment="1" applyBorder="1" applyFont="1">
      <alignment horizontal="left" shrinkToFit="0" wrapText="1"/>
    </xf>
    <xf borderId="1" fillId="3" fontId="4" numFmtId="0" xfId="0" applyAlignment="1" applyBorder="1" applyFill="1" applyFont="1">
      <alignment horizontal="left" shrinkToFit="0" wrapText="1"/>
    </xf>
    <xf borderId="1" fillId="2" fontId="4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left" vertical="top"/>
    </xf>
    <xf borderId="1" fillId="4" fontId="4" numFmtId="0" xfId="0" applyAlignment="1" applyBorder="1" applyFill="1" applyFont="1">
      <alignment horizontal="left" vertical="bottom"/>
    </xf>
    <xf borderId="2" fillId="2" fontId="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2" fillId="2" fontId="1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readingOrder="0"/>
    </xf>
    <xf borderId="1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/>
    </xf>
    <xf borderId="1" fillId="2" fontId="4" numFmtId="0" xfId="0" applyBorder="1" applyFont="1"/>
    <xf borderId="2" fillId="2" fontId="1" numFmtId="0" xfId="0" applyAlignment="1" applyBorder="1" applyFont="1">
      <alignment horizontal="left" readingOrder="0" vertical="bottom"/>
    </xf>
    <xf borderId="1" fillId="2" fontId="4" numFmtId="0" xfId="0" applyAlignment="1" applyBorder="1" applyFont="1">
      <alignment vertical="bottom"/>
    </xf>
    <xf borderId="1" fillId="2" fontId="6" numFmtId="0" xfId="0" applyAlignment="1" applyBorder="1" applyFont="1">
      <alignment horizontal="left" vertical="bottom"/>
    </xf>
    <xf borderId="1" fillId="2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1" fillId="2" fontId="6" numFmtId="0" xfId="0" applyAlignment="1" applyBorder="1" applyFont="1">
      <alignment readingOrder="0" shrinkToFit="0" wrapText="0"/>
    </xf>
    <xf borderId="0" fillId="2" fontId="4" numFmtId="0" xfId="0" applyFont="1"/>
    <xf borderId="2" fillId="0" fontId="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vertical="center"/>
    </xf>
    <xf borderId="1" fillId="0" fontId="9" numFmtId="165" xfId="0" applyAlignment="1" applyBorder="1" applyFont="1" applyNumberFormat="1">
      <alignment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1" fillId="0" fontId="8" numFmtId="165" xfId="0" applyAlignment="1" applyBorder="1" applyFont="1" applyNumberFormat="1">
      <alignment vertical="center"/>
    </xf>
    <xf borderId="1" fillId="0" fontId="8" numFmtId="0" xfId="0" applyAlignment="1" applyBorder="1" applyFont="1">
      <alignment vertical="center"/>
    </xf>
    <xf borderId="1" fillId="0" fontId="8" numFmtId="16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10" numFmtId="165" xfId="0" applyAlignment="1" applyBorder="1" applyFont="1" applyNumberFormat="1">
      <alignment vertical="center"/>
    </xf>
    <xf borderId="1" fillId="0" fontId="10" numFmtId="0" xfId="0" applyAlignment="1" applyBorder="1" applyFont="1">
      <alignment vertical="center"/>
    </xf>
    <xf borderId="1" fillId="0" fontId="10" numFmtId="164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center"/>
    </xf>
    <xf borderId="1" fillId="0" fontId="11" numFmtId="165" xfId="0" applyAlignment="1" applyBorder="1" applyFont="1" applyNumberFormat="1">
      <alignment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1" fillId="0" fontId="11" numFmtId="164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3" fillId="0" fontId="12" numFmtId="164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4" fillId="0" fontId="12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3" numFmtId="164" xfId="0" applyAlignment="1" applyFont="1" applyNumberFormat="1">
      <alignment horizontal="center" vertical="center"/>
    </xf>
    <xf borderId="2" fillId="0" fontId="14" numFmtId="0" xfId="0" applyAlignment="1" applyBorder="1" applyFont="1">
      <alignment horizontal="left" readingOrder="0"/>
    </xf>
    <xf borderId="0" fillId="0" fontId="10" numFmtId="164" xfId="0" applyAlignment="1" applyFont="1" applyNumberFormat="1">
      <alignment horizontal="center"/>
    </xf>
    <xf borderId="2" fillId="0" fontId="13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3" fillId="0" fontId="10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164" xfId="0" applyAlignment="1" applyBorder="1" applyFont="1" applyNumberFormat="1">
      <alignment horizontal="center" readingOrder="0" shrinkToFit="0" vertical="bottom" wrapText="1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1" fillId="0" fontId="11" numFmtId="165" xfId="0" applyAlignment="1" applyBorder="1" applyFont="1" applyNumberFormat="1">
      <alignment vertical="bottom"/>
    </xf>
    <xf borderId="1" fillId="0" fontId="11" numFmtId="0" xfId="0" applyAlignment="1" applyBorder="1" applyFont="1">
      <alignment horizontal="center" vertical="bottom"/>
    </xf>
    <xf borderId="1" fillId="0" fontId="11" numFmtId="164" xfId="0" applyAlignment="1" applyBorder="1" applyFont="1" applyNumberFormat="1">
      <alignment horizontal="center" vertical="bottom"/>
    </xf>
    <xf borderId="0" fillId="0" fontId="10" numFmtId="0" xfId="0" applyFont="1"/>
    <xf borderId="0" fillId="0" fontId="10" numFmtId="0" xfId="0" applyFont="1"/>
    <xf borderId="0" fillId="0" fontId="10" numFmtId="165" xfId="0" applyFont="1" applyNumberFormat="1"/>
    <xf borderId="0" fillId="0" fontId="10" numFmtId="0" xfId="0" applyAlignment="1" applyFont="1">
      <alignment horizontal="center"/>
    </xf>
    <xf borderId="2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165" xfId="0" applyAlignment="1" applyFont="1" applyNumberFormat="1">
      <alignment vertical="center"/>
    </xf>
    <xf borderId="0" fillId="0" fontId="13" numFmtId="4" xfId="0" applyAlignment="1" applyFont="1" applyNumberForma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1" fillId="0" fontId="4" numFmtId="4" xfId="0" applyAlignment="1" applyBorder="1" applyFont="1" applyNumberForma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6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right" vertical="center"/>
    </xf>
    <xf borderId="1" fillId="0" fontId="4" numFmtId="4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horizontal="right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vertical="center"/>
    </xf>
    <xf borderId="1" fillId="2" fontId="4" numFmtId="168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2" fontId="4" numFmtId="168" xfId="0" applyAlignment="1" applyBorder="1" applyFont="1" applyNumberFormat="1">
      <alignment horizontal="right" vertical="center"/>
    </xf>
    <xf borderId="1" fillId="0" fontId="4" numFmtId="1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right" vertical="center"/>
    </xf>
    <xf borderId="1" fillId="0" fontId="11" numFmtId="0" xfId="0" applyAlignment="1" applyBorder="1" applyFont="1">
      <alignment horizontal="center" vertical="center"/>
    </xf>
    <xf borderId="1" fillId="0" fontId="11" numFmtId="4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right" vertical="center"/>
    </xf>
    <xf borderId="1" fillId="0" fontId="18" numFmtId="0" xfId="0" applyAlignment="1" applyBorder="1" applyFont="1">
      <alignment vertical="center"/>
    </xf>
    <xf borderId="1" fillId="0" fontId="18" numFmtId="0" xfId="0" applyAlignment="1" applyBorder="1" applyFont="1">
      <alignment horizontal="center" vertical="center"/>
    </xf>
    <xf borderId="1" fillId="0" fontId="12" numFmtId="4" xfId="0" applyAlignment="1" applyBorder="1" applyFont="1" applyNumberFormat="1">
      <alignment horizontal="center" vertical="center"/>
    </xf>
    <xf borderId="1" fillId="0" fontId="18" numFmtId="4" xfId="0" applyAlignment="1" applyBorder="1" applyFont="1" applyNumberFormat="1">
      <alignment horizontal="center" vertical="center"/>
    </xf>
    <xf borderId="1" fillId="0" fontId="1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8.5"/>
    <col customWidth="1" min="3" max="3" width="12.38"/>
  </cols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3" t="s">
        <v>3</v>
      </c>
      <c r="C2" s="4"/>
    </row>
    <row r="3">
      <c r="A3" s="5" t="s">
        <v>4</v>
      </c>
      <c r="B3" s="6" t="str">
        <f>'Annexure 1A FNF'!A1</f>
        <v>FNF Physicall Available but not recorded in the system  </v>
      </c>
      <c r="C3" s="7">
        <f>'Annexure 1A FNF'!A63+'Annexure 1A FNF'!A156+'Annexure 1A FNF'!A184+'Annexure 1A FNF'!A202+'Annexure 1A FNF'!A226</f>
        <v>215</v>
      </c>
    </row>
    <row r="4">
      <c r="A4" s="5" t="s">
        <v>5</v>
      </c>
      <c r="B4" s="6" t="str">
        <f>'Annexure 1B EQP'!A1</f>
        <v>EQP Physicall Available but not recorded in the system  </v>
      </c>
      <c r="C4" s="7">
        <f>'Annexure 1B EQP'!A6+'Annexure 1B EQP'!A12</f>
        <v>7</v>
      </c>
    </row>
    <row r="5">
      <c r="A5" s="8"/>
      <c r="B5" s="9" t="s">
        <v>6</v>
      </c>
      <c r="C5" s="10">
        <f>SUM(C3:C4)</f>
        <v>222</v>
      </c>
    </row>
    <row r="6">
      <c r="A6" s="2">
        <v>2.0</v>
      </c>
      <c r="B6" s="3" t="s">
        <v>7</v>
      </c>
      <c r="C6" s="4"/>
    </row>
    <row r="7">
      <c r="A7" s="5" t="s">
        <v>4</v>
      </c>
      <c r="B7" s="6" t="str">
        <f>'Annex 2A Unserviceable items EQ'!A1</f>
        <v>EQP items available and recorded in ERP system but Unserviceable </v>
      </c>
      <c r="C7" s="11">
        <f>'Annex 2A Unserviceable items EQ'!O174</f>
        <v>27507.91</v>
      </c>
    </row>
    <row r="8">
      <c r="A8" s="5" t="s">
        <v>5</v>
      </c>
      <c r="B8" s="6" t="str">
        <f>'Annex 2B Unserviceable items FN'!B1</f>
        <v>FNF items available and recorded in ERP system but Unserviceable </v>
      </c>
      <c r="C8" s="11">
        <f>'Annex 2B Unserviceable items FN'!O62</f>
        <v>8985.68</v>
      </c>
    </row>
    <row r="9">
      <c r="A9" s="5" t="s">
        <v>8</v>
      </c>
      <c r="B9" s="12" t="str">
        <f>'Annexure 2C Unserviceable Grant'!A1</f>
        <v>Unserviceable Grant</v>
      </c>
      <c r="C9" s="13">
        <f>'Annexure 2C Unserviceable Grant'!O44</f>
        <v>8580.38</v>
      </c>
    </row>
    <row r="10">
      <c r="A10" s="5" t="s">
        <v>9</v>
      </c>
      <c r="B10" s="6" t="str">
        <f>'Annex 2D Surrendered EQP'!A1</f>
        <v>Surrendered EQP Items </v>
      </c>
      <c r="C10" s="11">
        <f>'Annex 2D Surrendered EQP'!N102</f>
        <v>35754.85</v>
      </c>
    </row>
    <row r="11">
      <c r="A11" s="5" t="s">
        <v>10</v>
      </c>
      <c r="B11" s="6" t="str">
        <f>'Annex 2E Surrendered FNF'!A1</f>
        <v>Surrendered FNF Items 														</v>
      </c>
      <c r="C11" s="11">
        <f>'Annex 2E Surrendered FNF'!N7</f>
        <v>190.6</v>
      </c>
    </row>
    <row r="12">
      <c r="A12" s="5" t="s">
        <v>11</v>
      </c>
      <c r="B12" s="6" t="str">
        <f>'Annex 2F Tally software for dis'!A1</f>
        <v>Tally Software for disposal </v>
      </c>
      <c r="C12" s="11">
        <f>'Annex 2F Tally software for dis'!O46</f>
        <v>52942.98</v>
      </c>
    </row>
    <row r="13">
      <c r="A13" s="6"/>
      <c r="B13" s="14" t="s">
        <v>6</v>
      </c>
      <c r="C13" s="15">
        <f>SUM(C7:C12)</f>
        <v>133962.4</v>
      </c>
    </row>
    <row r="14">
      <c r="A14" s="2">
        <v>3.0</v>
      </c>
      <c r="B14" s="16" t="s">
        <v>12</v>
      </c>
      <c r="C14" s="4"/>
    </row>
    <row r="15">
      <c r="A15" s="5" t="s">
        <v>4</v>
      </c>
      <c r="B15" s="6" t="str">
        <f>'Annex 3A EQP Physical not avail'!A1</f>
        <v>EQP Physicall not Available but recorded in the system  </v>
      </c>
      <c r="C15" s="11">
        <f>'Annex 3A EQP Physical not avail'!O13</f>
        <v>1384.37</v>
      </c>
    </row>
    <row r="16">
      <c r="A16" s="5" t="s">
        <v>5</v>
      </c>
      <c r="B16" s="6" t="str">
        <f>'Annex 3B Grant not ava but reco'!A1</f>
        <v>FNF Physicall not Available but recorded in the system  </v>
      </c>
      <c r="C16" s="7">
        <f>'Annex 3B Grant not ava but reco'!O14</f>
        <v>5</v>
      </c>
    </row>
    <row r="17">
      <c r="A17" s="5" t="s">
        <v>8</v>
      </c>
      <c r="B17" s="6" t="str">
        <f>'Annex 3C Tally Software Writeof'!A1</f>
        <v>Tally Software Writeoff</v>
      </c>
      <c r="C17" s="11">
        <f>'Annex 3C Tally Software Writeof'!O36</f>
        <v>9956.98</v>
      </c>
    </row>
    <row r="18">
      <c r="A18" s="6"/>
      <c r="B18" s="14" t="s">
        <v>6</v>
      </c>
      <c r="C18" s="15">
        <f>SUM(C15:C17)</f>
        <v>11346.35</v>
      </c>
    </row>
  </sheetData>
  <mergeCells count="3">
    <mergeCell ref="B2:C2"/>
    <mergeCell ref="B6:C6"/>
    <mergeCell ref="B14:C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8.5"/>
    <col customWidth="1" min="3" max="3" width="17.88"/>
    <col customWidth="1" min="4" max="4" width="25.75"/>
    <col customWidth="1" min="5" max="5" width="24.5"/>
    <col customWidth="1" min="6" max="6" width="19.5"/>
  </cols>
  <sheetData>
    <row r="1">
      <c r="A1" s="17" t="s">
        <v>13</v>
      </c>
      <c r="B1" s="18"/>
      <c r="C1" s="18"/>
      <c r="D1" s="18"/>
      <c r="E1" s="18"/>
      <c r="F1" s="4"/>
    </row>
    <row r="2">
      <c r="A2" s="2" t="s">
        <v>14</v>
      </c>
      <c r="B2" s="19" t="s">
        <v>15</v>
      </c>
      <c r="C2" s="20" t="s">
        <v>16</v>
      </c>
      <c r="D2" s="21" t="s">
        <v>17</v>
      </c>
      <c r="E2" s="21" t="s">
        <v>18</v>
      </c>
      <c r="F2" s="19" t="s">
        <v>19</v>
      </c>
    </row>
    <row r="3">
      <c r="A3" s="22" t="s">
        <v>20</v>
      </c>
      <c r="B3" s="18"/>
      <c r="C3" s="18"/>
      <c r="D3" s="18"/>
      <c r="E3" s="18"/>
      <c r="F3" s="4"/>
    </row>
    <row r="4">
      <c r="A4" s="23">
        <v>1.0</v>
      </c>
      <c r="B4" s="24" t="s">
        <v>21</v>
      </c>
      <c r="C4" s="8" t="s">
        <v>22</v>
      </c>
      <c r="D4" s="24" t="s">
        <v>23</v>
      </c>
      <c r="E4" s="25" t="s">
        <v>24</v>
      </c>
      <c r="F4" s="26" t="s">
        <v>25</v>
      </c>
    </row>
    <row r="5">
      <c r="A5" s="23">
        <v>2.0</v>
      </c>
      <c r="B5" s="27" t="s">
        <v>26</v>
      </c>
      <c r="C5" s="8" t="s">
        <v>22</v>
      </c>
      <c r="D5" s="28" t="s">
        <v>27</v>
      </c>
      <c r="E5" s="25" t="s">
        <v>28</v>
      </c>
      <c r="F5" s="26" t="s">
        <v>29</v>
      </c>
    </row>
    <row r="6">
      <c r="A6" s="23">
        <v>3.0</v>
      </c>
      <c r="B6" s="27" t="s">
        <v>30</v>
      </c>
      <c r="C6" s="8" t="s">
        <v>22</v>
      </c>
      <c r="D6" s="28" t="s">
        <v>27</v>
      </c>
      <c r="E6" s="25" t="s">
        <v>28</v>
      </c>
      <c r="F6" s="26" t="s">
        <v>29</v>
      </c>
    </row>
    <row r="7">
      <c r="A7" s="23">
        <v>4.0</v>
      </c>
      <c r="B7" s="27" t="s">
        <v>31</v>
      </c>
      <c r="C7" s="8" t="s">
        <v>22</v>
      </c>
      <c r="D7" s="28" t="s">
        <v>27</v>
      </c>
      <c r="E7" s="25" t="s">
        <v>28</v>
      </c>
      <c r="F7" s="26" t="s">
        <v>29</v>
      </c>
    </row>
    <row r="8">
      <c r="A8" s="23">
        <v>5.0</v>
      </c>
      <c r="B8" s="27" t="s">
        <v>32</v>
      </c>
      <c r="C8" s="8" t="s">
        <v>22</v>
      </c>
      <c r="D8" s="28" t="s">
        <v>33</v>
      </c>
      <c r="E8" s="25" t="s">
        <v>34</v>
      </c>
      <c r="F8" s="26" t="s">
        <v>35</v>
      </c>
    </row>
    <row r="9">
      <c r="A9" s="23">
        <v>6.0</v>
      </c>
      <c r="B9" s="27" t="s">
        <v>32</v>
      </c>
      <c r="C9" s="8" t="s">
        <v>22</v>
      </c>
      <c r="D9" s="28" t="s">
        <v>36</v>
      </c>
      <c r="E9" s="25" t="s">
        <v>34</v>
      </c>
      <c r="F9" s="26" t="s">
        <v>35</v>
      </c>
    </row>
    <row r="10">
      <c r="A10" s="23">
        <v>7.0</v>
      </c>
      <c r="B10" s="27" t="s">
        <v>32</v>
      </c>
      <c r="C10" s="8" t="s">
        <v>22</v>
      </c>
      <c r="D10" s="28" t="s">
        <v>37</v>
      </c>
      <c r="E10" s="25" t="s">
        <v>34</v>
      </c>
      <c r="F10" s="26" t="s">
        <v>35</v>
      </c>
    </row>
    <row r="11">
      <c r="A11" s="23">
        <v>8.0</v>
      </c>
      <c r="B11" s="27" t="s">
        <v>38</v>
      </c>
      <c r="C11" s="8" t="s">
        <v>22</v>
      </c>
      <c r="D11" s="28" t="s">
        <v>39</v>
      </c>
      <c r="E11" s="25" t="s">
        <v>40</v>
      </c>
      <c r="F11" s="26" t="s">
        <v>41</v>
      </c>
    </row>
    <row r="12">
      <c r="A12" s="23">
        <v>9.0</v>
      </c>
      <c r="B12" s="27" t="s">
        <v>42</v>
      </c>
      <c r="C12" s="8" t="s">
        <v>22</v>
      </c>
      <c r="D12" s="28" t="s">
        <v>43</v>
      </c>
      <c r="E12" s="25" t="s">
        <v>44</v>
      </c>
      <c r="F12" s="26" t="s">
        <v>41</v>
      </c>
    </row>
    <row r="13">
      <c r="A13" s="23">
        <v>10.0</v>
      </c>
      <c r="B13" s="27" t="s">
        <v>42</v>
      </c>
      <c r="C13" s="8" t="s">
        <v>22</v>
      </c>
      <c r="D13" s="28" t="s">
        <v>45</v>
      </c>
      <c r="E13" s="25" t="s">
        <v>44</v>
      </c>
      <c r="F13" s="26" t="s">
        <v>41</v>
      </c>
    </row>
    <row r="14">
      <c r="A14" s="23">
        <v>11.0</v>
      </c>
      <c r="B14" s="27" t="s">
        <v>42</v>
      </c>
      <c r="C14" s="8" t="s">
        <v>22</v>
      </c>
      <c r="D14" s="28" t="s">
        <v>46</v>
      </c>
      <c r="E14" s="25" t="s">
        <v>44</v>
      </c>
      <c r="F14" s="26" t="s">
        <v>41</v>
      </c>
    </row>
    <row r="15">
      <c r="A15" s="23">
        <v>12.0</v>
      </c>
      <c r="B15" s="27" t="s">
        <v>47</v>
      </c>
      <c r="C15" s="8" t="s">
        <v>22</v>
      </c>
      <c r="D15" s="28" t="s">
        <v>27</v>
      </c>
      <c r="E15" s="25" t="s">
        <v>48</v>
      </c>
      <c r="F15" s="26" t="s">
        <v>41</v>
      </c>
    </row>
    <row r="16">
      <c r="A16" s="23">
        <v>13.0</v>
      </c>
      <c r="B16" s="27" t="s">
        <v>49</v>
      </c>
      <c r="C16" s="8" t="s">
        <v>22</v>
      </c>
      <c r="D16" s="28" t="s">
        <v>50</v>
      </c>
      <c r="E16" s="25" t="s">
        <v>51</v>
      </c>
      <c r="F16" s="26" t="s">
        <v>52</v>
      </c>
    </row>
    <row r="17">
      <c r="A17" s="23">
        <v>14.0</v>
      </c>
      <c r="B17" s="27" t="s">
        <v>49</v>
      </c>
      <c r="C17" s="8" t="s">
        <v>22</v>
      </c>
      <c r="D17" s="28" t="s">
        <v>53</v>
      </c>
      <c r="E17" s="25" t="s">
        <v>51</v>
      </c>
      <c r="F17" s="26" t="s">
        <v>52</v>
      </c>
    </row>
    <row r="18">
      <c r="A18" s="23">
        <v>15.0</v>
      </c>
      <c r="B18" s="29" t="s">
        <v>54</v>
      </c>
      <c r="C18" s="8" t="s">
        <v>22</v>
      </c>
      <c r="D18" s="28" t="s">
        <v>55</v>
      </c>
      <c r="E18" s="25" t="s">
        <v>51</v>
      </c>
      <c r="F18" s="26" t="s">
        <v>52</v>
      </c>
    </row>
    <row r="19">
      <c r="A19" s="23">
        <v>16.0</v>
      </c>
      <c r="B19" s="27" t="s">
        <v>56</v>
      </c>
      <c r="C19" s="8" t="s">
        <v>22</v>
      </c>
      <c r="D19" s="28" t="s">
        <v>57</v>
      </c>
      <c r="E19" s="25" t="s">
        <v>58</v>
      </c>
      <c r="F19" s="26" t="s">
        <v>59</v>
      </c>
    </row>
    <row r="20">
      <c r="A20" s="23">
        <v>17.0</v>
      </c>
      <c r="B20" s="27" t="s">
        <v>56</v>
      </c>
      <c r="C20" s="8" t="s">
        <v>22</v>
      </c>
      <c r="D20" s="28" t="s">
        <v>57</v>
      </c>
      <c r="E20" s="25" t="s">
        <v>58</v>
      </c>
      <c r="F20" s="26" t="s">
        <v>59</v>
      </c>
    </row>
    <row r="21">
      <c r="A21" s="23">
        <v>18.0</v>
      </c>
      <c r="B21" s="27" t="s">
        <v>56</v>
      </c>
      <c r="C21" s="8" t="s">
        <v>22</v>
      </c>
      <c r="D21" s="28" t="s">
        <v>57</v>
      </c>
      <c r="E21" s="25" t="s">
        <v>58</v>
      </c>
      <c r="F21" s="26" t="s">
        <v>59</v>
      </c>
    </row>
    <row r="22">
      <c r="A22" s="23">
        <v>19.0</v>
      </c>
      <c r="B22" s="27" t="s">
        <v>56</v>
      </c>
      <c r="C22" s="8" t="s">
        <v>22</v>
      </c>
      <c r="D22" s="28" t="s">
        <v>57</v>
      </c>
      <c r="E22" s="25" t="s">
        <v>58</v>
      </c>
      <c r="F22" s="26" t="s">
        <v>59</v>
      </c>
    </row>
    <row r="23">
      <c r="A23" s="23">
        <v>20.0</v>
      </c>
      <c r="B23" s="27" t="s">
        <v>56</v>
      </c>
      <c r="C23" s="8" t="s">
        <v>22</v>
      </c>
      <c r="D23" s="28" t="s">
        <v>57</v>
      </c>
      <c r="E23" s="25" t="s">
        <v>58</v>
      </c>
      <c r="F23" s="26" t="s">
        <v>59</v>
      </c>
    </row>
    <row r="24">
      <c r="A24" s="23">
        <v>21.0</v>
      </c>
      <c r="B24" s="27" t="s">
        <v>56</v>
      </c>
      <c r="C24" s="8" t="s">
        <v>22</v>
      </c>
      <c r="D24" s="28" t="s">
        <v>57</v>
      </c>
      <c r="E24" s="25" t="s">
        <v>58</v>
      </c>
      <c r="F24" s="26" t="s">
        <v>59</v>
      </c>
    </row>
    <row r="25">
      <c r="A25" s="23">
        <v>22.0</v>
      </c>
      <c r="B25" s="27" t="s">
        <v>56</v>
      </c>
      <c r="C25" s="8" t="s">
        <v>22</v>
      </c>
      <c r="D25" s="28" t="s">
        <v>57</v>
      </c>
      <c r="E25" s="25" t="s">
        <v>58</v>
      </c>
      <c r="F25" s="26" t="s">
        <v>59</v>
      </c>
    </row>
    <row r="26">
      <c r="A26" s="23">
        <v>23.0</v>
      </c>
      <c r="B26" s="27" t="s">
        <v>56</v>
      </c>
      <c r="C26" s="8" t="s">
        <v>22</v>
      </c>
      <c r="D26" s="28" t="s">
        <v>57</v>
      </c>
      <c r="E26" s="25" t="s">
        <v>58</v>
      </c>
      <c r="F26" s="26" t="s">
        <v>59</v>
      </c>
    </row>
    <row r="27">
      <c r="A27" s="23">
        <v>24.0</v>
      </c>
      <c r="B27" s="27" t="s">
        <v>56</v>
      </c>
      <c r="C27" s="8" t="s">
        <v>22</v>
      </c>
      <c r="D27" s="28" t="s">
        <v>57</v>
      </c>
      <c r="E27" s="25" t="s">
        <v>58</v>
      </c>
      <c r="F27" s="26" t="s">
        <v>59</v>
      </c>
    </row>
    <row r="28">
      <c r="A28" s="23">
        <v>25.0</v>
      </c>
      <c r="B28" s="27" t="s">
        <v>56</v>
      </c>
      <c r="C28" s="8" t="s">
        <v>22</v>
      </c>
      <c r="D28" s="28" t="s">
        <v>57</v>
      </c>
      <c r="E28" s="25" t="s">
        <v>58</v>
      </c>
      <c r="F28" s="26" t="s">
        <v>59</v>
      </c>
    </row>
    <row r="29">
      <c r="A29" s="23">
        <v>26.0</v>
      </c>
      <c r="B29" s="27" t="s">
        <v>56</v>
      </c>
      <c r="C29" s="8" t="s">
        <v>22</v>
      </c>
      <c r="D29" s="28" t="s">
        <v>57</v>
      </c>
      <c r="E29" s="25" t="s">
        <v>58</v>
      </c>
      <c r="F29" s="26" t="s">
        <v>59</v>
      </c>
    </row>
    <row r="30">
      <c r="A30" s="23">
        <v>27.0</v>
      </c>
      <c r="B30" s="27" t="s">
        <v>56</v>
      </c>
      <c r="C30" s="8" t="s">
        <v>22</v>
      </c>
      <c r="D30" s="28" t="s">
        <v>57</v>
      </c>
      <c r="E30" s="25" t="s">
        <v>58</v>
      </c>
      <c r="F30" s="26" t="s">
        <v>59</v>
      </c>
    </row>
    <row r="31">
      <c r="A31" s="23">
        <v>28.0</v>
      </c>
      <c r="B31" s="27" t="s">
        <v>56</v>
      </c>
      <c r="C31" s="8" t="s">
        <v>22</v>
      </c>
      <c r="D31" s="28" t="s">
        <v>57</v>
      </c>
      <c r="E31" s="25" t="s">
        <v>58</v>
      </c>
      <c r="F31" s="26" t="s">
        <v>59</v>
      </c>
    </row>
    <row r="32">
      <c r="A32" s="23">
        <v>29.0</v>
      </c>
      <c r="B32" s="27" t="s">
        <v>56</v>
      </c>
      <c r="C32" s="8" t="s">
        <v>22</v>
      </c>
      <c r="D32" s="28" t="s">
        <v>57</v>
      </c>
      <c r="E32" s="25" t="s">
        <v>58</v>
      </c>
      <c r="F32" s="26" t="s">
        <v>59</v>
      </c>
    </row>
    <row r="33">
      <c r="A33" s="23">
        <v>30.0</v>
      </c>
      <c r="B33" s="27" t="s">
        <v>56</v>
      </c>
      <c r="C33" s="8" t="s">
        <v>22</v>
      </c>
      <c r="D33" s="28" t="s">
        <v>57</v>
      </c>
      <c r="E33" s="25" t="s">
        <v>58</v>
      </c>
      <c r="F33" s="26" t="s">
        <v>59</v>
      </c>
    </row>
    <row r="34">
      <c r="A34" s="23">
        <v>31.0</v>
      </c>
      <c r="B34" s="27" t="s">
        <v>56</v>
      </c>
      <c r="C34" s="8" t="s">
        <v>22</v>
      </c>
      <c r="D34" s="28" t="s">
        <v>57</v>
      </c>
      <c r="E34" s="25" t="s">
        <v>58</v>
      </c>
      <c r="F34" s="26" t="s">
        <v>59</v>
      </c>
    </row>
    <row r="35">
      <c r="A35" s="23">
        <v>32.0</v>
      </c>
      <c r="B35" s="27" t="s">
        <v>56</v>
      </c>
      <c r="C35" s="8" t="s">
        <v>22</v>
      </c>
      <c r="D35" s="28" t="s">
        <v>57</v>
      </c>
      <c r="E35" s="25" t="s">
        <v>58</v>
      </c>
      <c r="F35" s="26" t="s">
        <v>59</v>
      </c>
    </row>
    <row r="36">
      <c r="A36" s="23">
        <v>33.0</v>
      </c>
      <c r="B36" s="27" t="s">
        <v>56</v>
      </c>
      <c r="C36" s="8" t="s">
        <v>22</v>
      </c>
      <c r="D36" s="28" t="s">
        <v>57</v>
      </c>
      <c r="E36" s="25" t="s">
        <v>58</v>
      </c>
      <c r="F36" s="26" t="s">
        <v>59</v>
      </c>
    </row>
    <row r="37">
      <c r="A37" s="23">
        <v>34.0</v>
      </c>
      <c r="B37" s="27" t="s">
        <v>56</v>
      </c>
      <c r="C37" s="8" t="s">
        <v>22</v>
      </c>
      <c r="D37" s="28" t="s">
        <v>57</v>
      </c>
      <c r="E37" s="25" t="s">
        <v>58</v>
      </c>
      <c r="F37" s="26" t="s">
        <v>59</v>
      </c>
    </row>
    <row r="38">
      <c r="A38" s="23">
        <v>35.0</v>
      </c>
      <c r="B38" s="27" t="s">
        <v>56</v>
      </c>
      <c r="C38" s="8" t="s">
        <v>22</v>
      </c>
      <c r="D38" s="28" t="s">
        <v>57</v>
      </c>
      <c r="E38" s="25" t="s">
        <v>58</v>
      </c>
      <c r="F38" s="26" t="s">
        <v>59</v>
      </c>
    </row>
    <row r="39">
      <c r="A39" s="23">
        <v>36.0</v>
      </c>
      <c r="B39" s="27" t="s">
        <v>56</v>
      </c>
      <c r="C39" s="8" t="s">
        <v>22</v>
      </c>
      <c r="D39" s="28" t="s">
        <v>57</v>
      </c>
      <c r="E39" s="25" t="s">
        <v>58</v>
      </c>
      <c r="F39" s="26" t="s">
        <v>59</v>
      </c>
    </row>
    <row r="40">
      <c r="A40" s="23">
        <v>37.0</v>
      </c>
      <c r="B40" s="27" t="s">
        <v>56</v>
      </c>
      <c r="C40" s="8" t="s">
        <v>22</v>
      </c>
      <c r="D40" s="28" t="s">
        <v>57</v>
      </c>
      <c r="E40" s="25" t="s">
        <v>58</v>
      </c>
      <c r="F40" s="26" t="s">
        <v>59</v>
      </c>
    </row>
    <row r="41">
      <c r="A41" s="23">
        <v>38.0</v>
      </c>
      <c r="B41" s="27" t="s">
        <v>56</v>
      </c>
      <c r="C41" s="8" t="s">
        <v>22</v>
      </c>
      <c r="D41" s="28" t="s">
        <v>57</v>
      </c>
      <c r="E41" s="25" t="s">
        <v>58</v>
      </c>
      <c r="F41" s="26" t="s">
        <v>59</v>
      </c>
    </row>
    <row r="42">
      <c r="A42" s="23">
        <v>39.0</v>
      </c>
      <c r="B42" s="27" t="s">
        <v>56</v>
      </c>
      <c r="C42" s="8" t="s">
        <v>22</v>
      </c>
      <c r="D42" s="28" t="s">
        <v>57</v>
      </c>
      <c r="E42" s="25" t="s">
        <v>58</v>
      </c>
      <c r="F42" s="26" t="s">
        <v>59</v>
      </c>
    </row>
    <row r="43">
      <c r="A43" s="23">
        <v>40.0</v>
      </c>
      <c r="B43" s="27" t="s">
        <v>56</v>
      </c>
      <c r="C43" s="8" t="s">
        <v>22</v>
      </c>
      <c r="D43" s="28" t="s">
        <v>57</v>
      </c>
      <c r="E43" s="25" t="s">
        <v>58</v>
      </c>
      <c r="F43" s="26" t="s">
        <v>59</v>
      </c>
    </row>
    <row r="44">
      <c r="A44" s="23">
        <v>41.0</v>
      </c>
      <c r="B44" s="27" t="s">
        <v>56</v>
      </c>
      <c r="C44" s="8" t="s">
        <v>22</v>
      </c>
      <c r="D44" s="28" t="s">
        <v>57</v>
      </c>
      <c r="E44" s="25" t="s">
        <v>58</v>
      </c>
      <c r="F44" s="26" t="s">
        <v>59</v>
      </c>
    </row>
    <row r="45">
      <c r="A45" s="23">
        <v>42.0</v>
      </c>
      <c r="B45" s="27" t="s">
        <v>56</v>
      </c>
      <c r="C45" s="8" t="s">
        <v>22</v>
      </c>
      <c r="D45" s="28" t="s">
        <v>57</v>
      </c>
      <c r="E45" s="25" t="s">
        <v>58</v>
      </c>
      <c r="F45" s="26" t="s">
        <v>59</v>
      </c>
    </row>
    <row r="46">
      <c r="A46" s="23">
        <v>43.0</v>
      </c>
      <c r="B46" s="27" t="s">
        <v>56</v>
      </c>
      <c r="C46" s="8" t="s">
        <v>22</v>
      </c>
      <c r="D46" s="28" t="s">
        <v>57</v>
      </c>
      <c r="E46" s="25" t="s">
        <v>58</v>
      </c>
      <c r="F46" s="26" t="s">
        <v>59</v>
      </c>
    </row>
    <row r="47">
      <c r="A47" s="23">
        <v>44.0</v>
      </c>
      <c r="B47" s="27" t="s">
        <v>56</v>
      </c>
      <c r="C47" s="8" t="s">
        <v>22</v>
      </c>
      <c r="D47" s="28" t="s">
        <v>57</v>
      </c>
      <c r="E47" s="25" t="s">
        <v>58</v>
      </c>
      <c r="F47" s="26" t="s">
        <v>59</v>
      </c>
    </row>
    <row r="48">
      <c r="A48" s="23">
        <v>45.0</v>
      </c>
      <c r="B48" s="27" t="s">
        <v>56</v>
      </c>
      <c r="C48" s="8" t="s">
        <v>22</v>
      </c>
      <c r="D48" s="28" t="s">
        <v>57</v>
      </c>
      <c r="E48" s="25" t="s">
        <v>58</v>
      </c>
      <c r="F48" s="26" t="s">
        <v>59</v>
      </c>
    </row>
    <row r="49">
      <c r="A49" s="23">
        <v>46.0</v>
      </c>
      <c r="B49" s="27" t="s">
        <v>56</v>
      </c>
      <c r="C49" s="8" t="s">
        <v>22</v>
      </c>
      <c r="D49" s="28" t="s">
        <v>57</v>
      </c>
      <c r="E49" s="25" t="s">
        <v>58</v>
      </c>
      <c r="F49" s="26" t="s">
        <v>59</v>
      </c>
    </row>
    <row r="50">
      <c r="A50" s="23">
        <v>47.0</v>
      </c>
      <c r="B50" s="27" t="s">
        <v>56</v>
      </c>
      <c r="C50" s="8" t="s">
        <v>22</v>
      </c>
      <c r="D50" s="28" t="s">
        <v>57</v>
      </c>
      <c r="E50" s="25" t="s">
        <v>58</v>
      </c>
      <c r="F50" s="26" t="s">
        <v>59</v>
      </c>
    </row>
    <row r="51">
      <c r="A51" s="23">
        <v>48.0</v>
      </c>
      <c r="B51" s="27" t="s">
        <v>56</v>
      </c>
      <c r="C51" s="8" t="s">
        <v>22</v>
      </c>
      <c r="D51" s="28" t="s">
        <v>57</v>
      </c>
      <c r="E51" s="25" t="s">
        <v>58</v>
      </c>
      <c r="F51" s="26" t="s">
        <v>59</v>
      </c>
    </row>
    <row r="52">
      <c r="A52" s="23">
        <v>49.0</v>
      </c>
      <c r="B52" s="27" t="s">
        <v>56</v>
      </c>
      <c r="C52" s="8" t="s">
        <v>22</v>
      </c>
      <c r="D52" s="28" t="s">
        <v>57</v>
      </c>
      <c r="E52" s="25" t="s">
        <v>58</v>
      </c>
      <c r="F52" s="26" t="s">
        <v>59</v>
      </c>
    </row>
    <row r="53">
      <c r="A53" s="23">
        <v>50.0</v>
      </c>
      <c r="B53" s="27" t="s">
        <v>56</v>
      </c>
      <c r="C53" s="8" t="s">
        <v>22</v>
      </c>
      <c r="D53" s="28" t="s">
        <v>57</v>
      </c>
      <c r="E53" s="25" t="s">
        <v>58</v>
      </c>
      <c r="F53" s="26" t="s">
        <v>59</v>
      </c>
    </row>
    <row r="54">
      <c r="A54" s="23">
        <v>51.0</v>
      </c>
      <c r="B54" s="27" t="s">
        <v>56</v>
      </c>
      <c r="C54" s="8" t="s">
        <v>22</v>
      </c>
      <c r="D54" s="28" t="s">
        <v>57</v>
      </c>
      <c r="E54" s="25" t="s">
        <v>58</v>
      </c>
      <c r="F54" s="26" t="s">
        <v>59</v>
      </c>
    </row>
    <row r="55">
      <c r="A55" s="23">
        <v>52.0</v>
      </c>
      <c r="B55" s="27" t="s">
        <v>56</v>
      </c>
      <c r="C55" s="8" t="s">
        <v>22</v>
      </c>
      <c r="D55" s="28" t="s">
        <v>57</v>
      </c>
      <c r="E55" s="25" t="s">
        <v>58</v>
      </c>
      <c r="F55" s="26" t="s">
        <v>59</v>
      </c>
    </row>
    <row r="56">
      <c r="A56" s="23">
        <v>53.0</v>
      </c>
      <c r="B56" s="27" t="s">
        <v>56</v>
      </c>
      <c r="C56" s="8" t="s">
        <v>22</v>
      </c>
      <c r="D56" s="28" t="s">
        <v>57</v>
      </c>
      <c r="E56" s="25" t="s">
        <v>58</v>
      </c>
      <c r="F56" s="26" t="s">
        <v>59</v>
      </c>
    </row>
    <row r="57">
      <c r="A57" s="23">
        <v>54.0</v>
      </c>
      <c r="B57" s="27" t="s">
        <v>56</v>
      </c>
      <c r="C57" s="8" t="s">
        <v>22</v>
      </c>
      <c r="D57" s="28" t="s">
        <v>57</v>
      </c>
      <c r="E57" s="25" t="s">
        <v>58</v>
      </c>
      <c r="F57" s="26" t="s">
        <v>59</v>
      </c>
    </row>
    <row r="58">
      <c r="A58" s="23">
        <v>55.0</v>
      </c>
      <c r="B58" s="27" t="s">
        <v>56</v>
      </c>
      <c r="C58" s="8" t="s">
        <v>22</v>
      </c>
      <c r="D58" s="28" t="s">
        <v>57</v>
      </c>
      <c r="E58" s="25" t="s">
        <v>58</v>
      </c>
      <c r="F58" s="26" t="s">
        <v>59</v>
      </c>
    </row>
    <row r="59">
      <c r="A59" s="23">
        <v>56.0</v>
      </c>
      <c r="B59" s="27" t="s">
        <v>56</v>
      </c>
      <c r="C59" s="8" t="s">
        <v>22</v>
      </c>
      <c r="D59" s="28" t="s">
        <v>57</v>
      </c>
      <c r="E59" s="25" t="s">
        <v>58</v>
      </c>
      <c r="F59" s="26" t="s">
        <v>59</v>
      </c>
    </row>
    <row r="60">
      <c r="A60" s="23">
        <v>57.0</v>
      </c>
      <c r="B60" s="27" t="s">
        <v>56</v>
      </c>
      <c r="C60" s="8" t="s">
        <v>22</v>
      </c>
      <c r="D60" s="28" t="s">
        <v>57</v>
      </c>
      <c r="E60" s="25" t="s">
        <v>58</v>
      </c>
      <c r="F60" s="26" t="s">
        <v>59</v>
      </c>
    </row>
    <row r="61">
      <c r="A61" s="23">
        <v>58.0</v>
      </c>
      <c r="B61" s="27" t="s">
        <v>56</v>
      </c>
      <c r="C61" s="8" t="s">
        <v>22</v>
      </c>
      <c r="D61" s="28" t="s">
        <v>57</v>
      </c>
      <c r="E61" s="25" t="s">
        <v>58</v>
      </c>
      <c r="F61" s="26" t="s">
        <v>59</v>
      </c>
    </row>
    <row r="62">
      <c r="A62" s="23">
        <v>59.0</v>
      </c>
      <c r="B62" s="27" t="s">
        <v>60</v>
      </c>
      <c r="C62" s="8" t="s">
        <v>22</v>
      </c>
      <c r="D62" s="28" t="s">
        <v>27</v>
      </c>
      <c r="E62" s="25" t="s">
        <v>58</v>
      </c>
      <c r="F62" s="26" t="s">
        <v>59</v>
      </c>
    </row>
    <row r="63">
      <c r="A63" s="23">
        <v>60.0</v>
      </c>
      <c r="B63" s="27" t="s">
        <v>61</v>
      </c>
      <c r="C63" s="8" t="s">
        <v>22</v>
      </c>
      <c r="D63" s="28" t="s">
        <v>27</v>
      </c>
      <c r="E63" s="25" t="s">
        <v>58</v>
      </c>
      <c r="F63" s="26" t="s">
        <v>59</v>
      </c>
    </row>
    <row r="64">
      <c r="A64" s="30"/>
      <c r="B64" s="31"/>
      <c r="C64" s="32"/>
      <c r="D64" s="33"/>
      <c r="E64" s="33"/>
      <c r="F64" s="31"/>
    </row>
    <row r="65">
      <c r="B65" s="34"/>
      <c r="C65" s="34"/>
      <c r="D65" s="34"/>
      <c r="E65" s="34"/>
      <c r="F65" s="34"/>
    </row>
    <row r="66">
      <c r="A66" s="23">
        <v>1.0</v>
      </c>
      <c r="B66" s="35" t="s">
        <v>62</v>
      </c>
      <c r="C66" s="8" t="s">
        <v>22</v>
      </c>
      <c r="D66" s="35" t="s">
        <v>63</v>
      </c>
      <c r="E66" s="35" t="s">
        <v>64</v>
      </c>
      <c r="F66" s="26" t="s">
        <v>65</v>
      </c>
    </row>
    <row r="67">
      <c r="A67" s="23">
        <v>2.0</v>
      </c>
      <c r="B67" s="35" t="s">
        <v>66</v>
      </c>
      <c r="C67" s="8" t="s">
        <v>22</v>
      </c>
      <c r="D67" s="35" t="s">
        <v>67</v>
      </c>
      <c r="E67" s="35" t="s">
        <v>64</v>
      </c>
      <c r="F67" s="26" t="s">
        <v>65</v>
      </c>
    </row>
    <row r="68">
      <c r="A68" s="23">
        <v>3.0</v>
      </c>
      <c r="B68" s="35" t="s">
        <v>68</v>
      </c>
      <c r="C68" s="8" t="s">
        <v>22</v>
      </c>
      <c r="D68" s="35" t="s">
        <v>69</v>
      </c>
      <c r="E68" s="35" t="s">
        <v>70</v>
      </c>
      <c r="F68" s="26" t="s">
        <v>65</v>
      </c>
    </row>
    <row r="69">
      <c r="A69" s="23">
        <v>4.0</v>
      </c>
      <c r="B69" s="35" t="s">
        <v>71</v>
      </c>
      <c r="C69" s="8" t="s">
        <v>22</v>
      </c>
      <c r="D69" s="35" t="s">
        <v>72</v>
      </c>
      <c r="E69" s="35" t="s">
        <v>73</v>
      </c>
      <c r="F69" s="26" t="s">
        <v>65</v>
      </c>
    </row>
    <row r="70">
      <c r="A70" s="23">
        <v>5.0</v>
      </c>
      <c r="B70" s="35" t="s">
        <v>74</v>
      </c>
      <c r="C70" s="8" t="s">
        <v>22</v>
      </c>
      <c r="D70" s="35" t="s">
        <v>63</v>
      </c>
      <c r="E70" s="35" t="s">
        <v>73</v>
      </c>
      <c r="F70" s="26" t="s">
        <v>65</v>
      </c>
    </row>
    <row r="71">
      <c r="A71" s="23">
        <v>6.0</v>
      </c>
      <c r="B71" s="35" t="s">
        <v>75</v>
      </c>
      <c r="C71" s="8" t="s">
        <v>22</v>
      </c>
      <c r="D71" s="35" t="s">
        <v>63</v>
      </c>
      <c r="E71" s="35" t="s">
        <v>76</v>
      </c>
      <c r="F71" s="26" t="s">
        <v>65</v>
      </c>
    </row>
    <row r="72">
      <c r="A72" s="23">
        <v>7.0</v>
      </c>
      <c r="B72" s="35" t="s">
        <v>68</v>
      </c>
      <c r="C72" s="8" t="s">
        <v>22</v>
      </c>
      <c r="D72" s="35" t="s">
        <v>77</v>
      </c>
      <c r="E72" s="35" t="s">
        <v>76</v>
      </c>
      <c r="F72" s="26" t="s">
        <v>65</v>
      </c>
    </row>
    <row r="73">
      <c r="A73" s="23">
        <v>8.0</v>
      </c>
      <c r="B73" s="35" t="s">
        <v>68</v>
      </c>
      <c r="C73" s="8" t="s">
        <v>22</v>
      </c>
      <c r="D73" s="35" t="s">
        <v>78</v>
      </c>
      <c r="E73" s="35" t="s">
        <v>76</v>
      </c>
      <c r="F73" s="26" t="s">
        <v>65</v>
      </c>
    </row>
    <row r="74">
      <c r="A74" s="23">
        <v>9.0</v>
      </c>
      <c r="B74" s="35" t="s">
        <v>79</v>
      </c>
      <c r="C74" s="8" t="s">
        <v>22</v>
      </c>
      <c r="D74" s="35" t="s">
        <v>80</v>
      </c>
      <c r="E74" s="35" t="s">
        <v>76</v>
      </c>
      <c r="F74" s="26" t="s">
        <v>65</v>
      </c>
    </row>
    <row r="75">
      <c r="A75" s="23">
        <v>10.0</v>
      </c>
      <c r="B75" s="35" t="s">
        <v>66</v>
      </c>
      <c r="C75" s="8" t="s">
        <v>22</v>
      </c>
      <c r="D75" s="35" t="s">
        <v>81</v>
      </c>
      <c r="E75" s="35" t="s">
        <v>76</v>
      </c>
      <c r="F75" s="26" t="s">
        <v>65</v>
      </c>
    </row>
    <row r="76">
      <c r="A76" s="23">
        <v>11.0</v>
      </c>
      <c r="B76" s="35" t="s">
        <v>82</v>
      </c>
      <c r="C76" s="8" t="s">
        <v>22</v>
      </c>
      <c r="D76" s="35" t="s">
        <v>63</v>
      </c>
      <c r="E76" s="35" t="s">
        <v>76</v>
      </c>
      <c r="F76" s="26" t="s">
        <v>65</v>
      </c>
    </row>
    <row r="77">
      <c r="A77" s="23">
        <v>12.0</v>
      </c>
      <c r="B77" s="35" t="s">
        <v>83</v>
      </c>
      <c r="C77" s="8" t="s">
        <v>22</v>
      </c>
      <c r="D77" s="35" t="s">
        <v>63</v>
      </c>
      <c r="E77" s="35" t="s">
        <v>76</v>
      </c>
      <c r="F77" s="26" t="s">
        <v>65</v>
      </c>
    </row>
    <row r="78">
      <c r="A78" s="23">
        <v>13.0</v>
      </c>
      <c r="B78" s="35" t="s">
        <v>84</v>
      </c>
      <c r="C78" s="8" t="s">
        <v>22</v>
      </c>
      <c r="D78" s="35" t="s">
        <v>85</v>
      </c>
      <c r="E78" s="35" t="s">
        <v>86</v>
      </c>
      <c r="F78" s="26" t="s">
        <v>65</v>
      </c>
    </row>
    <row r="79">
      <c r="A79" s="23">
        <v>14.0</v>
      </c>
      <c r="B79" s="35" t="s">
        <v>87</v>
      </c>
      <c r="C79" s="8" t="s">
        <v>22</v>
      </c>
      <c r="D79" s="35" t="s">
        <v>88</v>
      </c>
      <c r="E79" s="35" t="s">
        <v>86</v>
      </c>
      <c r="F79" s="26" t="s">
        <v>65</v>
      </c>
    </row>
    <row r="80">
      <c r="A80" s="23">
        <v>15.0</v>
      </c>
      <c r="B80" s="35" t="s">
        <v>89</v>
      </c>
      <c r="C80" s="8" t="s">
        <v>22</v>
      </c>
      <c r="D80" s="35" t="s">
        <v>63</v>
      </c>
      <c r="E80" s="35" t="s">
        <v>86</v>
      </c>
      <c r="F80" s="26" t="s">
        <v>65</v>
      </c>
    </row>
    <row r="81">
      <c r="A81" s="23">
        <v>16.0</v>
      </c>
      <c r="B81" s="35" t="s">
        <v>90</v>
      </c>
      <c r="C81" s="8" t="s">
        <v>22</v>
      </c>
      <c r="D81" s="35" t="s">
        <v>91</v>
      </c>
      <c r="E81" s="35" t="s">
        <v>92</v>
      </c>
      <c r="F81" s="26" t="s">
        <v>65</v>
      </c>
    </row>
    <row r="82">
      <c r="A82" s="23">
        <v>17.0</v>
      </c>
      <c r="B82" s="35" t="s">
        <v>84</v>
      </c>
      <c r="C82" s="8" t="s">
        <v>22</v>
      </c>
      <c r="D82" s="35" t="s">
        <v>93</v>
      </c>
      <c r="E82" s="35" t="s">
        <v>94</v>
      </c>
      <c r="F82" s="26" t="s">
        <v>65</v>
      </c>
    </row>
    <row r="83">
      <c r="A83" s="23">
        <v>18.0</v>
      </c>
      <c r="B83" s="35" t="s">
        <v>95</v>
      </c>
      <c r="C83" s="8" t="s">
        <v>22</v>
      </c>
      <c r="D83" s="35" t="s">
        <v>63</v>
      </c>
      <c r="E83" s="35" t="s">
        <v>96</v>
      </c>
      <c r="F83" s="26" t="s">
        <v>65</v>
      </c>
    </row>
    <row r="84">
      <c r="A84" s="23">
        <v>19.0</v>
      </c>
      <c r="B84" s="35" t="s">
        <v>95</v>
      </c>
      <c r="C84" s="8" t="s">
        <v>22</v>
      </c>
      <c r="D84" s="35" t="s">
        <v>63</v>
      </c>
      <c r="E84" s="35" t="s">
        <v>96</v>
      </c>
      <c r="F84" s="26" t="s">
        <v>65</v>
      </c>
    </row>
    <row r="85">
      <c r="A85" s="23">
        <v>20.0</v>
      </c>
      <c r="B85" s="35" t="s">
        <v>95</v>
      </c>
      <c r="C85" s="8" t="s">
        <v>22</v>
      </c>
      <c r="D85" s="35" t="s">
        <v>63</v>
      </c>
      <c r="E85" s="35" t="s">
        <v>96</v>
      </c>
      <c r="F85" s="26" t="s">
        <v>65</v>
      </c>
    </row>
    <row r="86">
      <c r="A86" s="23">
        <v>21.0</v>
      </c>
      <c r="B86" s="35" t="s">
        <v>95</v>
      </c>
      <c r="C86" s="8" t="s">
        <v>22</v>
      </c>
      <c r="D86" s="35" t="s">
        <v>63</v>
      </c>
      <c r="E86" s="35" t="s">
        <v>96</v>
      </c>
      <c r="F86" s="26" t="s">
        <v>65</v>
      </c>
    </row>
    <row r="87">
      <c r="A87" s="23">
        <v>22.0</v>
      </c>
      <c r="B87" s="35" t="s">
        <v>97</v>
      </c>
      <c r="C87" s="8" t="s">
        <v>22</v>
      </c>
      <c r="D87" s="35" t="s">
        <v>63</v>
      </c>
      <c r="E87" s="35" t="s">
        <v>96</v>
      </c>
      <c r="F87" s="26" t="s">
        <v>65</v>
      </c>
    </row>
    <row r="88">
      <c r="A88" s="23">
        <v>23.0</v>
      </c>
      <c r="B88" s="35" t="s">
        <v>97</v>
      </c>
      <c r="C88" s="8" t="s">
        <v>22</v>
      </c>
      <c r="D88" s="35" t="s">
        <v>63</v>
      </c>
      <c r="E88" s="35" t="s">
        <v>96</v>
      </c>
      <c r="F88" s="26" t="s">
        <v>65</v>
      </c>
    </row>
    <row r="89">
      <c r="A89" s="23">
        <v>24.0</v>
      </c>
      <c r="B89" s="35" t="s">
        <v>97</v>
      </c>
      <c r="C89" s="8" t="s">
        <v>22</v>
      </c>
      <c r="D89" s="35" t="s">
        <v>63</v>
      </c>
      <c r="E89" s="35" t="s">
        <v>96</v>
      </c>
      <c r="F89" s="26" t="s">
        <v>65</v>
      </c>
    </row>
    <row r="90">
      <c r="A90" s="23">
        <v>25.0</v>
      </c>
      <c r="B90" s="35" t="s">
        <v>98</v>
      </c>
      <c r="C90" s="8" t="s">
        <v>22</v>
      </c>
      <c r="D90" s="35" t="s">
        <v>99</v>
      </c>
      <c r="E90" s="35" t="s">
        <v>96</v>
      </c>
      <c r="F90" s="26" t="s">
        <v>65</v>
      </c>
    </row>
    <row r="91">
      <c r="A91" s="23">
        <v>26.0</v>
      </c>
      <c r="B91" s="35" t="s">
        <v>90</v>
      </c>
      <c r="C91" s="8" t="s">
        <v>22</v>
      </c>
      <c r="D91" s="35" t="s">
        <v>100</v>
      </c>
      <c r="E91" s="35" t="s">
        <v>96</v>
      </c>
      <c r="F91" s="26" t="s">
        <v>65</v>
      </c>
    </row>
    <row r="92">
      <c r="A92" s="23">
        <v>27.0</v>
      </c>
      <c r="B92" s="35" t="s">
        <v>101</v>
      </c>
      <c r="C92" s="8" t="s">
        <v>22</v>
      </c>
      <c r="D92" s="35" t="s">
        <v>102</v>
      </c>
      <c r="E92" s="35" t="s">
        <v>96</v>
      </c>
      <c r="F92" s="26" t="s">
        <v>65</v>
      </c>
    </row>
    <row r="93">
      <c r="A93" s="23">
        <v>28.0</v>
      </c>
      <c r="B93" s="35" t="s">
        <v>90</v>
      </c>
      <c r="C93" s="8" t="s">
        <v>22</v>
      </c>
      <c r="D93" s="35" t="s">
        <v>103</v>
      </c>
      <c r="E93" s="35" t="s">
        <v>96</v>
      </c>
      <c r="F93" s="26" t="s">
        <v>65</v>
      </c>
    </row>
    <row r="94">
      <c r="A94" s="23">
        <v>29.0</v>
      </c>
      <c r="B94" s="35" t="s">
        <v>104</v>
      </c>
      <c r="C94" s="8" t="s">
        <v>22</v>
      </c>
      <c r="D94" s="35" t="s">
        <v>63</v>
      </c>
      <c r="E94" s="35" t="s">
        <v>96</v>
      </c>
      <c r="F94" s="26" t="s">
        <v>65</v>
      </c>
    </row>
    <row r="95">
      <c r="A95" s="23">
        <v>30.0</v>
      </c>
      <c r="B95" s="35" t="s">
        <v>105</v>
      </c>
      <c r="C95" s="8" t="s">
        <v>22</v>
      </c>
      <c r="D95" s="35" t="s">
        <v>63</v>
      </c>
      <c r="E95" s="35" t="s">
        <v>96</v>
      </c>
      <c r="F95" s="26" t="s">
        <v>65</v>
      </c>
    </row>
    <row r="96">
      <c r="A96" s="23">
        <v>31.0</v>
      </c>
      <c r="B96" s="35" t="s">
        <v>106</v>
      </c>
      <c r="C96" s="8" t="s">
        <v>22</v>
      </c>
      <c r="D96" s="35" t="s">
        <v>63</v>
      </c>
      <c r="E96" s="35" t="s">
        <v>96</v>
      </c>
      <c r="F96" s="26" t="s">
        <v>65</v>
      </c>
    </row>
    <row r="97">
      <c r="A97" s="23">
        <v>32.0</v>
      </c>
      <c r="B97" s="35" t="s">
        <v>87</v>
      </c>
      <c r="C97" s="8" t="s">
        <v>22</v>
      </c>
      <c r="D97" s="35" t="s">
        <v>63</v>
      </c>
      <c r="E97" s="35" t="s">
        <v>96</v>
      </c>
      <c r="F97" s="26" t="s">
        <v>65</v>
      </c>
    </row>
    <row r="98">
      <c r="A98" s="23">
        <v>33.0</v>
      </c>
      <c r="B98" s="35" t="s">
        <v>107</v>
      </c>
      <c r="C98" s="8" t="s">
        <v>22</v>
      </c>
      <c r="D98" s="35" t="s">
        <v>108</v>
      </c>
      <c r="E98" s="35" t="s">
        <v>96</v>
      </c>
      <c r="F98" s="26" t="s">
        <v>65</v>
      </c>
    </row>
    <row r="99">
      <c r="A99" s="23">
        <v>34.0</v>
      </c>
      <c r="B99" s="35" t="s">
        <v>109</v>
      </c>
      <c r="C99" s="8" t="s">
        <v>22</v>
      </c>
      <c r="D99" s="35" t="s">
        <v>110</v>
      </c>
      <c r="E99" s="35" t="s">
        <v>96</v>
      </c>
      <c r="F99" s="26" t="s">
        <v>65</v>
      </c>
    </row>
    <row r="100">
      <c r="A100" s="23">
        <v>35.0</v>
      </c>
      <c r="B100" s="35" t="s">
        <v>111</v>
      </c>
      <c r="C100" s="8" t="s">
        <v>22</v>
      </c>
      <c r="D100" s="35" t="s">
        <v>112</v>
      </c>
      <c r="E100" s="35" t="s">
        <v>113</v>
      </c>
      <c r="F100" s="26" t="s">
        <v>65</v>
      </c>
    </row>
    <row r="101">
      <c r="A101" s="23">
        <v>36.0</v>
      </c>
      <c r="B101" s="35" t="s">
        <v>114</v>
      </c>
      <c r="C101" s="8" t="s">
        <v>22</v>
      </c>
      <c r="D101" s="35" t="s">
        <v>115</v>
      </c>
      <c r="E101" s="35" t="s">
        <v>116</v>
      </c>
      <c r="F101" s="26" t="s">
        <v>65</v>
      </c>
    </row>
    <row r="102">
      <c r="A102" s="23">
        <v>37.0</v>
      </c>
      <c r="B102" s="36" t="s">
        <v>117</v>
      </c>
      <c r="C102" s="8" t="s">
        <v>22</v>
      </c>
      <c r="D102" s="35" t="s">
        <v>63</v>
      </c>
      <c r="E102" s="35" t="s">
        <v>118</v>
      </c>
      <c r="F102" s="26" t="s">
        <v>65</v>
      </c>
    </row>
    <row r="103">
      <c r="A103" s="23">
        <v>38.0</v>
      </c>
      <c r="B103" s="35" t="s">
        <v>119</v>
      </c>
      <c r="C103" s="8" t="s">
        <v>22</v>
      </c>
      <c r="D103" s="35" t="s">
        <v>63</v>
      </c>
      <c r="E103" s="35" t="s">
        <v>118</v>
      </c>
      <c r="F103" s="26" t="s">
        <v>65</v>
      </c>
    </row>
    <row r="104">
      <c r="A104" s="23">
        <v>39.0</v>
      </c>
      <c r="B104" s="35" t="s">
        <v>120</v>
      </c>
      <c r="C104" s="8" t="s">
        <v>22</v>
      </c>
      <c r="D104" s="35" t="s">
        <v>63</v>
      </c>
      <c r="E104" s="35" t="s">
        <v>118</v>
      </c>
      <c r="F104" s="26" t="s">
        <v>65</v>
      </c>
    </row>
    <row r="105">
      <c r="A105" s="23">
        <v>40.0</v>
      </c>
      <c r="B105" s="35" t="s">
        <v>121</v>
      </c>
      <c r="C105" s="8" t="s">
        <v>22</v>
      </c>
      <c r="D105" s="35" t="s">
        <v>63</v>
      </c>
      <c r="E105" s="35" t="s">
        <v>118</v>
      </c>
      <c r="F105" s="26" t="s">
        <v>65</v>
      </c>
    </row>
    <row r="106">
      <c r="A106" s="23">
        <v>41.0</v>
      </c>
      <c r="B106" s="35" t="s">
        <v>84</v>
      </c>
      <c r="C106" s="8" t="s">
        <v>22</v>
      </c>
      <c r="D106" s="35" t="s">
        <v>63</v>
      </c>
      <c r="E106" s="35" t="s">
        <v>118</v>
      </c>
      <c r="F106" s="26" t="s">
        <v>65</v>
      </c>
    </row>
    <row r="107">
      <c r="A107" s="23">
        <v>42.0</v>
      </c>
      <c r="B107" s="35" t="s">
        <v>122</v>
      </c>
      <c r="C107" s="8" t="s">
        <v>22</v>
      </c>
      <c r="D107" s="35" t="s">
        <v>63</v>
      </c>
      <c r="E107" s="35" t="s">
        <v>118</v>
      </c>
      <c r="F107" s="26" t="s">
        <v>65</v>
      </c>
    </row>
    <row r="108">
      <c r="A108" s="23">
        <v>43.0</v>
      </c>
      <c r="B108" s="35" t="s">
        <v>123</v>
      </c>
      <c r="C108" s="8" t="s">
        <v>22</v>
      </c>
      <c r="D108" s="35" t="s">
        <v>63</v>
      </c>
      <c r="E108" s="35" t="s">
        <v>118</v>
      </c>
      <c r="F108" s="26" t="s">
        <v>65</v>
      </c>
    </row>
    <row r="109">
      <c r="A109" s="23">
        <v>44.0</v>
      </c>
      <c r="B109" s="35" t="s">
        <v>124</v>
      </c>
      <c r="C109" s="8" t="s">
        <v>22</v>
      </c>
      <c r="D109" s="35" t="s">
        <v>63</v>
      </c>
      <c r="E109" s="35" t="s">
        <v>118</v>
      </c>
      <c r="F109" s="26" t="s">
        <v>65</v>
      </c>
    </row>
    <row r="110">
      <c r="A110" s="23">
        <v>45.0</v>
      </c>
      <c r="B110" s="35" t="s">
        <v>124</v>
      </c>
      <c r="C110" s="8" t="s">
        <v>22</v>
      </c>
      <c r="D110" s="35" t="s">
        <v>63</v>
      </c>
      <c r="E110" s="35" t="s">
        <v>118</v>
      </c>
      <c r="F110" s="26" t="s">
        <v>65</v>
      </c>
    </row>
    <row r="111">
      <c r="A111" s="23">
        <v>46.0</v>
      </c>
      <c r="B111" s="35" t="s">
        <v>124</v>
      </c>
      <c r="C111" s="8" t="s">
        <v>22</v>
      </c>
      <c r="D111" s="35" t="s">
        <v>63</v>
      </c>
      <c r="E111" s="35" t="s">
        <v>118</v>
      </c>
      <c r="F111" s="26" t="s">
        <v>65</v>
      </c>
    </row>
    <row r="112">
      <c r="A112" s="23">
        <v>47.0</v>
      </c>
      <c r="B112" s="35" t="s">
        <v>124</v>
      </c>
      <c r="C112" s="8" t="s">
        <v>22</v>
      </c>
      <c r="D112" s="35" t="s">
        <v>63</v>
      </c>
      <c r="E112" s="35" t="s">
        <v>118</v>
      </c>
      <c r="F112" s="26" t="s">
        <v>65</v>
      </c>
    </row>
    <row r="113">
      <c r="A113" s="23">
        <v>48.0</v>
      </c>
      <c r="B113" s="27" t="s">
        <v>56</v>
      </c>
      <c r="C113" s="8" t="s">
        <v>22</v>
      </c>
      <c r="D113" s="28" t="s">
        <v>125</v>
      </c>
      <c r="E113" s="28" t="s">
        <v>126</v>
      </c>
      <c r="F113" s="26" t="s">
        <v>127</v>
      </c>
    </row>
    <row r="114">
      <c r="A114" s="23">
        <v>49.0</v>
      </c>
      <c r="B114" s="27" t="s">
        <v>128</v>
      </c>
      <c r="C114" s="8" t="s">
        <v>22</v>
      </c>
      <c r="D114" s="28" t="s">
        <v>129</v>
      </c>
      <c r="E114" s="28" t="s">
        <v>126</v>
      </c>
      <c r="F114" s="26" t="s">
        <v>127</v>
      </c>
    </row>
    <row r="115">
      <c r="A115" s="23">
        <v>50.0</v>
      </c>
      <c r="B115" s="27" t="s">
        <v>128</v>
      </c>
      <c r="C115" s="8" t="s">
        <v>22</v>
      </c>
      <c r="D115" s="28" t="s">
        <v>130</v>
      </c>
      <c r="E115" s="28" t="s">
        <v>126</v>
      </c>
      <c r="F115" s="26" t="s">
        <v>127</v>
      </c>
    </row>
    <row r="116">
      <c r="A116" s="23">
        <v>51.0</v>
      </c>
      <c r="B116" s="27" t="s">
        <v>74</v>
      </c>
      <c r="C116" s="8" t="s">
        <v>22</v>
      </c>
      <c r="D116" s="28" t="s">
        <v>131</v>
      </c>
      <c r="E116" s="28" t="s">
        <v>132</v>
      </c>
      <c r="F116" s="26" t="s">
        <v>127</v>
      </c>
    </row>
    <row r="117">
      <c r="A117" s="23">
        <v>52.0</v>
      </c>
      <c r="B117" s="27" t="s">
        <v>74</v>
      </c>
      <c r="C117" s="8" t="s">
        <v>22</v>
      </c>
      <c r="D117" s="28" t="s">
        <v>133</v>
      </c>
      <c r="E117" s="28" t="s">
        <v>132</v>
      </c>
      <c r="F117" s="26" t="s">
        <v>127</v>
      </c>
    </row>
    <row r="118">
      <c r="A118" s="23">
        <v>53.0</v>
      </c>
      <c r="B118" s="27" t="s">
        <v>134</v>
      </c>
      <c r="C118" s="8" t="s">
        <v>22</v>
      </c>
      <c r="D118" s="28" t="s">
        <v>135</v>
      </c>
      <c r="E118" s="28" t="s">
        <v>132</v>
      </c>
      <c r="F118" s="26" t="s">
        <v>127</v>
      </c>
    </row>
    <row r="119">
      <c r="A119" s="23">
        <v>54.0</v>
      </c>
      <c r="B119" s="27" t="s">
        <v>134</v>
      </c>
      <c r="C119" s="8" t="s">
        <v>22</v>
      </c>
      <c r="D119" s="28" t="s">
        <v>136</v>
      </c>
      <c r="E119" s="28" t="s">
        <v>132</v>
      </c>
      <c r="F119" s="26" t="s">
        <v>127</v>
      </c>
    </row>
    <row r="120">
      <c r="A120" s="23">
        <v>55.0</v>
      </c>
      <c r="B120" s="27" t="s">
        <v>137</v>
      </c>
      <c r="C120" s="8" t="s">
        <v>22</v>
      </c>
      <c r="D120" s="28" t="s">
        <v>138</v>
      </c>
      <c r="E120" s="28" t="s">
        <v>126</v>
      </c>
      <c r="F120" s="26" t="s">
        <v>127</v>
      </c>
    </row>
    <row r="121">
      <c r="A121" s="23">
        <v>56.0</v>
      </c>
      <c r="B121" s="27" t="s">
        <v>139</v>
      </c>
      <c r="C121" s="8" t="s">
        <v>22</v>
      </c>
      <c r="D121" s="28" t="s">
        <v>140</v>
      </c>
      <c r="E121" s="28" t="s">
        <v>141</v>
      </c>
      <c r="F121" s="26" t="s">
        <v>127</v>
      </c>
    </row>
    <row r="122">
      <c r="A122" s="23">
        <v>57.0</v>
      </c>
      <c r="B122" s="27" t="s">
        <v>142</v>
      </c>
      <c r="C122" s="8" t="s">
        <v>22</v>
      </c>
      <c r="D122" s="28" t="s">
        <v>63</v>
      </c>
      <c r="E122" s="28" t="s">
        <v>143</v>
      </c>
      <c r="F122" s="26" t="s">
        <v>144</v>
      </c>
    </row>
    <row r="123">
      <c r="A123" s="23">
        <v>58.0</v>
      </c>
      <c r="B123" s="27" t="s">
        <v>145</v>
      </c>
      <c r="C123" s="8" t="s">
        <v>22</v>
      </c>
      <c r="D123" s="28" t="s">
        <v>146</v>
      </c>
      <c r="E123" s="28" t="s">
        <v>147</v>
      </c>
      <c r="F123" s="26" t="s">
        <v>144</v>
      </c>
    </row>
    <row r="124">
      <c r="A124" s="23">
        <v>59.0</v>
      </c>
      <c r="B124" s="27" t="s">
        <v>148</v>
      </c>
      <c r="C124" s="8" t="s">
        <v>22</v>
      </c>
      <c r="D124" s="28" t="s">
        <v>146</v>
      </c>
      <c r="E124" s="28" t="s">
        <v>143</v>
      </c>
      <c r="F124" s="26" t="s">
        <v>144</v>
      </c>
    </row>
    <row r="125">
      <c r="A125" s="23">
        <v>60.0</v>
      </c>
      <c r="B125" s="27" t="s">
        <v>149</v>
      </c>
      <c r="C125" s="8" t="s">
        <v>22</v>
      </c>
      <c r="D125" s="28" t="s">
        <v>146</v>
      </c>
      <c r="E125" s="25" t="s">
        <v>147</v>
      </c>
      <c r="F125" s="26" t="s">
        <v>144</v>
      </c>
    </row>
    <row r="126">
      <c r="A126" s="23">
        <v>61.0</v>
      </c>
      <c r="B126" s="27" t="s">
        <v>150</v>
      </c>
      <c r="C126" s="8" t="s">
        <v>22</v>
      </c>
      <c r="D126" s="28" t="s">
        <v>151</v>
      </c>
      <c r="E126" s="25" t="s">
        <v>147</v>
      </c>
      <c r="F126" s="26" t="s">
        <v>144</v>
      </c>
    </row>
    <row r="127">
      <c r="A127" s="23">
        <v>62.0</v>
      </c>
      <c r="B127" s="27" t="s">
        <v>152</v>
      </c>
      <c r="C127" s="8" t="s">
        <v>22</v>
      </c>
      <c r="D127" s="28" t="s">
        <v>153</v>
      </c>
      <c r="E127" s="28" t="s">
        <v>147</v>
      </c>
      <c r="F127" s="26" t="s">
        <v>144</v>
      </c>
    </row>
    <row r="128">
      <c r="A128" s="23">
        <v>63.0</v>
      </c>
      <c r="B128" s="27" t="s">
        <v>154</v>
      </c>
      <c r="C128" s="8" t="s">
        <v>22</v>
      </c>
      <c r="D128" s="28" t="s">
        <v>155</v>
      </c>
      <c r="E128" s="28" t="s">
        <v>147</v>
      </c>
      <c r="F128" s="26" t="s">
        <v>144</v>
      </c>
    </row>
    <row r="129">
      <c r="A129" s="23">
        <v>64.0</v>
      </c>
      <c r="B129" s="27" t="s">
        <v>154</v>
      </c>
      <c r="C129" s="8" t="s">
        <v>22</v>
      </c>
      <c r="D129" s="28" t="s">
        <v>156</v>
      </c>
      <c r="E129" s="28" t="s">
        <v>147</v>
      </c>
      <c r="F129" s="26" t="s">
        <v>144</v>
      </c>
    </row>
    <row r="130">
      <c r="A130" s="23">
        <v>65.0</v>
      </c>
      <c r="B130" s="27" t="s">
        <v>157</v>
      </c>
      <c r="C130" s="8" t="s">
        <v>22</v>
      </c>
      <c r="D130" s="28" t="s">
        <v>158</v>
      </c>
      <c r="E130" s="28" t="s">
        <v>143</v>
      </c>
      <c r="F130" s="26" t="s">
        <v>144</v>
      </c>
    </row>
    <row r="131">
      <c r="A131" s="23">
        <v>66.0</v>
      </c>
      <c r="B131" s="27" t="s">
        <v>159</v>
      </c>
      <c r="C131" s="8" t="s">
        <v>22</v>
      </c>
      <c r="D131" s="28" t="s">
        <v>160</v>
      </c>
      <c r="E131" s="28" t="s">
        <v>147</v>
      </c>
      <c r="F131" s="26" t="s">
        <v>144</v>
      </c>
    </row>
    <row r="132">
      <c r="A132" s="23">
        <v>67.0</v>
      </c>
      <c r="B132" s="27" t="s">
        <v>159</v>
      </c>
      <c r="C132" s="8" t="s">
        <v>22</v>
      </c>
      <c r="D132" s="28" t="s">
        <v>161</v>
      </c>
      <c r="E132" s="28" t="s">
        <v>147</v>
      </c>
      <c r="F132" s="26" t="s">
        <v>144</v>
      </c>
    </row>
    <row r="133">
      <c r="A133" s="23">
        <v>68.0</v>
      </c>
      <c r="B133" s="27" t="s">
        <v>159</v>
      </c>
      <c r="C133" s="8" t="s">
        <v>22</v>
      </c>
      <c r="D133" s="28" t="s">
        <v>162</v>
      </c>
      <c r="E133" s="28" t="s">
        <v>147</v>
      </c>
      <c r="F133" s="26" t="s">
        <v>144</v>
      </c>
    </row>
    <row r="134">
      <c r="A134" s="23">
        <v>69.0</v>
      </c>
      <c r="B134" s="27" t="s">
        <v>159</v>
      </c>
      <c r="C134" s="8" t="s">
        <v>22</v>
      </c>
      <c r="D134" s="28" t="s">
        <v>163</v>
      </c>
      <c r="E134" s="28" t="s">
        <v>147</v>
      </c>
      <c r="F134" s="26" t="s">
        <v>144</v>
      </c>
    </row>
    <row r="135">
      <c r="A135" s="23">
        <v>70.0</v>
      </c>
      <c r="B135" s="27" t="s">
        <v>128</v>
      </c>
      <c r="C135" s="8" t="s">
        <v>22</v>
      </c>
      <c r="D135" s="28" t="s">
        <v>146</v>
      </c>
      <c r="E135" s="37" t="s">
        <v>164</v>
      </c>
      <c r="F135" s="26" t="s">
        <v>165</v>
      </c>
    </row>
    <row r="136">
      <c r="A136" s="23">
        <v>71.0</v>
      </c>
      <c r="B136" s="27" t="s">
        <v>128</v>
      </c>
      <c r="C136" s="8" t="s">
        <v>22</v>
      </c>
      <c r="D136" s="28" t="s">
        <v>146</v>
      </c>
      <c r="E136" s="37" t="s">
        <v>164</v>
      </c>
      <c r="F136" s="26" t="s">
        <v>165</v>
      </c>
    </row>
    <row r="137">
      <c r="A137" s="23">
        <v>72.0</v>
      </c>
      <c r="B137" s="27" t="s">
        <v>166</v>
      </c>
      <c r="C137" s="8" t="s">
        <v>22</v>
      </c>
      <c r="D137" s="28" t="s">
        <v>167</v>
      </c>
      <c r="E137" s="28" t="s">
        <v>168</v>
      </c>
      <c r="F137" s="26" t="s">
        <v>169</v>
      </c>
    </row>
    <row r="138">
      <c r="A138" s="23">
        <v>73.0</v>
      </c>
      <c r="B138" s="28" t="s">
        <v>170</v>
      </c>
      <c r="C138" s="8" t="s">
        <v>22</v>
      </c>
      <c r="D138" s="28" t="s">
        <v>171</v>
      </c>
      <c r="E138" s="37" t="s">
        <v>172</v>
      </c>
      <c r="F138" s="26" t="s">
        <v>173</v>
      </c>
    </row>
    <row r="139">
      <c r="A139" s="23">
        <v>74.0</v>
      </c>
      <c r="B139" s="28" t="s">
        <v>174</v>
      </c>
      <c r="C139" s="8" t="s">
        <v>22</v>
      </c>
      <c r="D139" s="28" t="s">
        <v>175</v>
      </c>
      <c r="E139" s="37" t="s">
        <v>172</v>
      </c>
      <c r="F139" s="26" t="s">
        <v>173</v>
      </c>
    </row>
    <row r="140">
      <c r="A140" s="23">
        <v>75.0</v>
      </c>
      <c r="B140" s="28" t="s">
        <v>176</v>
      </c>
      <c r="C140" s="8" t="s">
        <v>22</v>
      </c>
      <c r="D140" s="28" t="s">
        <v>177</v>
      </c>
      <c r="E140" s="37" t="s">
        <v>172</v>
      </c>
      <c r="F140" s="26" t="s">
        <v>173</v>
      </c>
    </row>
    <row r="141">
      <c r="A141" s="23">
        <v>76.0</v>
      </c>
      <c r="B141" s="28" t="s">
        <v>178</v>
      </c>
      <c r="C141" s="8" t="s">
        <v>22</v>
      </c>
      <c r="D141" s="28" t="s">
        <v>179</v>
      </c>
      <c r="E141" s="37" t="s">
        <v>172</v>
      </c>
      <c r="F141" s="26" t="s">
        <v>173</v>
      </c>
    </row>
    <row r="142">
      <c r="A142" s="23">
        <v>77.0</v>
      </c>
      <c r="B142" s="28" t="s">
        <v>180</v>
      </c>
      <c r="C142" s="8" t="s">
        <v>22</v>
      </c>
      <c r="D142" s="28" t="s">
        <v>160</v>
      </c>
      <c r="E142" s="37" t="s">
        <v>172</v>
      </c>
      <c r="F142" s="26" t="s">
        <v>173</v>
      </c>
    </row>
    <row r="143">
      <c r="A143" s="23">
        <v>78.0</v>
      </c>
      <c r="B143" s="28" t="s">
        <v>180</v>
      </c>
      <c r="C143" s="8" t="s">
        <v>22</v>
      </c>
      <c r="D143" s="28" t="s">
        <v>161</v>
      </c>
      <c r="E143" s="37" t="s">
        <v>172</v>
      </c>
      <c r="F143" s="26" t="s">
        <v>173</v>
      </c>
    </row>
    <row r="144">
      <c r="A144" s="23">
        <v>79.0</v>
      </c>
      <c r="B144" s="28" t="s">
        <v>181</v>
      </c>
      <c r="C144" s="8" t="s">
        <v>22</v>
      </c>
      <c r="D144" s="28" t="s">
        <v>182</v>
      </c>
      <c r="E144" s="37" t="s">
        <v>172</v>
      </c>
      <c r="F144" s="26" t="s">
        <v>173</v>
      </c>
    </row>
    <row r="145">
      <c r="A145" s="23">
        <v>80.0</v>
      </c>
      <c r="B145" s="28" t="s">
        <v>183</v>
      </c>
      <c r="C145" s="8" t="s">
        <v>22</v>
      </c>
      <c r="D145" s="28" t="s">
        <v>184</v>
      </c>
      <c r="E145" s="37" t="s">
        <v>172</v>
      </c>
      <c r="F145" s="26" t="s">
        <v>173</v>
      </c>
    </row>
    <row r="146">
      <c r="A146" s="23">
        <v>81.0</v>
      </c>
      <c r="B146" s="28" t="s">
        <v>185</v>
      </c>
      <c r="C146" s="8" t="s">
        <v>22</v>
      </c>
      <c r="D146" s="28" t="s">
        <v>156</v>
      </c>
      <c r="E146" s="37" t="s">
        <v>172</v>
      </c>
      <c r="F146" s="26" t="s">
        <v>173</v>
      </c>
    </row>
    <row r="147">
      <c r="A147" s="23">
        <v>82.0</v>
      </c>
      <c r="B147" s="28" t="s">
        <v>134</v>
      </c>
      <c r="C147" s="8" t="s">
        <v>22</v>
      </c>
      <c r="D147" s="28" t="s">
        <v>163</v>
      </c>
      <c r="E147" s="37" t="s">
        <v>172</v>
      </c>
      <c r="F147" s="26" t="s">
        <v>173</v>
      </c>
    </row>
    <row r="148">
      <c r="A148" s="23">
        <v>83.0</v>
      </c>
      <c r="B148" s="28" t="s">
        <v>186</v>
      </c>
      <c r="C148" s="8" t="s">
        <v>22</v>
      </c>
      <c r="D148" s="28" t="s">
        <v>187</v>
      </c>
      <c r="E148" s="37" t="s">
        <v>172</v>
      </c>
      <c r="F148" s="26" t="s">
        <v>173</v>
      </c>
    </row>
    <row r="149">
      <c r="A149" s="23">
        <v>84.0</v>
      </c>
      <c r="B149" s="27" t="s">
        <v>74</v>
      </c>
      <c r="C149" s="8" t="s">
        <v>22</v>
      </c>
      <c r="D149" s="28" t="s">
        <v>188</v>
      </c>
      <c r="E149" s="28" t="s">
        <v>189</v>
      </c>
      <c r="F149" s="27" t="s">
        <v>190</v>
      </c>
    </row>
    <row r="150">
      <c r="A150" s="23">
        <v>85.0</v>
      </c>
      <c r="B150" s="27" t="s">
        <v>191</v>
      </c>
      <c r="C150" s="8" t="s">
        <v>22</v>
      </c>
      <c r="D150" s="28" t="s">
        <v>192</v>
      </c>
      <c r="E150" s="28" t="s">
        <v>193</v>
      </c>
      <c r="F150" s="27" t="s">
        <v>190</v>
      </c>
    </row>
    <row r="151">
      <c r="A151" s="23">
        <v>86.0</v>
      </c>
      <c r="B151" s="27" t="s">
        <v>194</v>
      </c>
      <c r="C151" s="8" t="s">
        <v>22</v>
      </c>
      <c r="D151" s="28" t="s">
        <v>195</v>
      </c>
      <c r="E151" s="28" t="s">
        <v>189</v>
      </c>
      <c r="F151" s="27" t="s">
        <v>190</v>
      </c>
    </row>
    <row r="152">
      <c r="A152" s="23">
        <v>87.0</v>
      </c>
      <c r="B152" s="27" t="s">
        <v>196</v>
      </c>
      <c r="C152" s="8" t="s">
        <v>22</v>
      </c>
      <c r="D152" s="28" t="s">
        <v>197</v>
      </c>
      <c r="E152" s="28" t="s">
        <v>189</v>
      </c>
      <c r="F152" s="27" t="s">
        <v>190</v>
      </c>
    </row>
    <row r="153">
      <c r="A153" s="23">
        <v>88.0</v>
      </c>
      <c r="B153" s="27" t="s">
        <v>198</v>
      </c>
      <c r="C153" s="8" t="s">
        <v>22</v>
      </c>
      <c r="D153" s="28" t="s">
        <v>188</v>
      </c>
      <c r="E153" s="28" t="s">
        <v>189</v>
      </c>
      <c r="F153" s="27" t="s">
        <v>190</v>
      </c>
    </row>
    <row r="154">
      <c r="A154" s="23">
        <v>89.0</v>
      </c>
      <c r="B154" s="27" t="s">
        <v>199</v>
      </c>
      <c r="C154" s="8" t="s">
        <v>22</v>
      </c>
      <c r="D154" s="28" t="s">
        <v>200</v>
      </c>
      <c r="E154" s="28" t="s">
        <v>189</v>
      </c>
      <c r="F154" s="27" t="s">
        <v>190</v>
      </c>
    </row>
    <row r="155">
      <c r="A155" s="23">
        <v>90.0</v>
      </c>
      <c r="B155" s="27" t="s">
        <v>201</v>
      </c>
      <c r="C155" s="8" t="s">
        <v>22</v>
      </c>
      <c r="D155" s="28" t="s">
        <v>202</v>
      </c>
      <c r="E155" s="28" t="s">
        <v>193</v>
      </c>
      <c r="F155" s="27" t="s">
        <v>190</v>
      </c>
    </row>
    <row r="156">
      <c r="A156" s="23">
        <v>91.0</v>
      </c>
      <c r="B156" s="27" t="s">
        <v>203</v>
      </c>
      <c r="C156" s="8" t="s">
        <v>22</v>
      </c>
      <c r="D156" s="28" t="s">
        <v>204</v>
      </c>
      <c r="E156" s="28" t="s">
        <v>189</v>
      </c>
      <c r="F156" s="27" t="s">
        <v>190</v>
      </c>
    </row>
    <row r="157">
      <c r="A157" s="30"/>
      <c r="B157" s="31"/>
      <c r="C157" s="8"/>
      <c r="D157" s="33"/>
      <c r="E157" s="33"/>
      <c r="F157" s="31"/>
    </row>
    <row r="158">
      <c r="A158" s="38" t="s">
        <v>205</v>
      </c>
    </row>
    <row r="159">
      <c r="A159" s="39">
        <v>1.0</v>
      </c>
      <c r="B159" s="27" t="s">
        <v>206</v>
      </c>
      <c r="C159" s="8" t="s">
        <v>22</v>
      </c>
      <c r="D159" s="28" t="s">
        <v>63</v>
      </c>
      <c r="E159" s="28" t="s">
        <v>207</v>
      </c>
      <c r="F159" s="27" t="s">
        <v>208</v>
      </c>
    </row>
    <row r="160">
      <c r="A160" s="40">
        <v>2.0</v>
      </c>
      <c r="B160" s="27" t="s">
        <v>209</v>
      </c>
      <c r="C160" s="8" t="s">
        <v>22</v>
      </c>
      <c r="D160" s="28" t="s">
        <v>63</v>
      </c>
      <c r="E160" s="41" t="s">
        <v>210</v>
      </c>
      <c r="F160" s="27" t="s">
        <v>208</v>
      </c>
    </row>
    <row r="161">
      <c r="A161" s="40">
        <v>3.0</v>
      </c>
      <c r="B161" s="27" t="s">
        <v>211</v>
      </c>
      <c r="C161" s="8" t="s">
        <v>22</v>
      </c>
      <c r="D161" s="28" t="s">
        <v>212</v>
      </c>
      <c r="E161" s="41" t="s">
        <v>210</v>
      </c>
      <c r="F161" s="27" t="s">
        <v>208</v>
      </c>
    </row>
    <row r="162">
      <c r="A162" s="39">
        <v>4.0</v>
      </c>
      <c r="B162" s="29" t="s">
        <v>213</v>
      </c>
      <c r="C162" s="8" t="s">
        <v>22</v>
      </c>
      <c r="D162" s="28" t="s">
        <v>197</v>
      </c>
      <c r="E162" s="28" t="s">
        <v>214</v>
      </c>
      <c r="F162" s="28" t="s">
        <v>215</v>
      </c>
    </row>
    <row r="163">
      <c r="A163" s="40">
        <v>5.0</v>
      </c>
      <c r="B163" s="29" t="s">
        <v>216</v>
      </c>
      <c r="C163" s="8" t="s">
        <v>22</v>
      </c>
      <c r="D163" s="28" t="s">
        <v>197</v>
      </c>
      <c r="E163" s="28" t="s">
        <v>214</v>
      </c>
      <c r="F163" s="28" t="s">
        <v>215</v>
      </c>
    </row>
    <row r="164">
      <c r="A164" s="39">
        <v>6.0</v>
      </c>
      <c r="B164" s="27" t="s">
        <v>217</v>
      </c>
      <c r="C164" s="8" t="s">
        <v>22</v>
      </c>
      <c r="D164" s="28" t="s">
        <v>218</v>
      </c>
      <c r="E164" s="28" t="s">
        <v>214</v>
      </c>
      <c r="F164" s="28" t="s">
        <v>215</v>
      </c>
    </row>
    <row r="165">
      <c r="A165" s="40">
        <v>7.0</v>
      </c>
      <c r="B165" s="27" t="s">
        <v>219</v>
      </c>
      <c r="C165" s="8" t="s">
        <v>22</v>
      </c>
      <c r="D165" s="28" t="s">
        <v>220</v>
      </c>
      <c r="E165" s="28" t="s">
        <v>214</v>
      </c>
      <c r="F165" s="28" t="s">
        <v>215</v>
      </c>
    </row>
    <row r="166">
      <c r="A166" s="40">
        <v>8.0</v>
      </c>
      <c r="B166" s="29" t="s">
        <v>221</v>
      </c>
      <c r="C166" s="8" t="s">
        <v>22</v>
      </c>
      <c r="D166" s="28" t="s">
        <v>188</v>
      </c>
      <c r="E166" s="28" t="s">
        <v>214</v>
      </c>
      <c r="F166" s="28" t="s">
        <v>215</v>
      </c>
    </row>
    <row r="167">
      <c r="A167" s="39">
        <v>9.0</v>
      </c>
      <c r="B167" s="29" t="s">
        <v>221</v>
      </c>
      <c r="C167" s="8"/>
      <c r="D167" s="28" t="s">
        <v>188</v>
      </c>
      <c r="E167" s="28" t="s">
        <v>214</v>
      </c>
      <c r="F167" s="28" t="s">
        <v>215</v>
      </c>
    </row>
    <row r="168">
      <c r="A168" s="40">
        <v>10.0</v>
      </c>
      <c r="B168" s="29" t="s">
        <v>221</v>
      </c>
      <c r="C168" s="8"/>
      <c r="D168" s="28" t="s">
        <v>188</v>
      </c>
      <c r="E168" s="28" t="s">
        <v>214</v>
      </c>
      <c r="F168" s="28" t="s">
        <v>215</v>
      </c>
    </row>
    <row r="169">
      <c r="A169" s="39">
        <v>11.0</v>
      </c>
      <c r="B169" s="27" t="s">
        <v>222</v>
      </c>
      <c r="C169" s="8" t="s">
        <v>22</v>
      </c>
      <c r="D169" s="28" t="s">
        <v>63</v>
      </c>
      <c r="E169" s="28" t="s">
        <v>223</v>
      </c>
      <c r="F169" s="27" t="s">
        <v>224</v>
      </c>
    </row>
    <row r="170">
      <c r="A170" s="40">
        <v>12.0</v>
      </c>
      <c r="B170" s="27" t="s">
        <v>56</v>
      </c>
      <c r="C170" s="8" t="s">
        <v>22</v>
      </c>
      <c r="D170" s="28"/>
      <c r="E170" s="28" t="s">
        <v>225</v>
      </c>
      <c r="F170" s="28" t="s">
        <v>226</v>
      </c>
    </row>
    <row r="171">
      <c r="A171" s="40">
        <v>13.0</v>
      </c>
      <c r="B171" s="27" t="s">
        <v>227</v>
      </c>
      <c r="C171" s="8" t="s">
        <v>22</v>
      </c>
      <c r="D171" s="28" t="s">
        <v>228</v>
      </c>
      <c r="E171" s="28" t="s">
        <v>229</v>
      </c>
      <c r="F171" s="28" t="s">
        <v>230</v>
      </c>
    </row>
    <row r="172">
      <c r="A172" s="39">
        <v>14.0</v>
      </c>
      <c r="B172" s="27" t="s">
        <v>231</v>
      </c>
      <c r="C172" s="8" t="s">
        <v>22</v>
      </c>
      <c r="D172" s="28" t="s">
        <v>228</v>
      </c>
      <c r="E172" s="28" t="s">
        <v>229</v>
      </c>
      <c r="F172" s="28" t="s">
        <v>230</v>
      </c>
    </row>
    <row r="173">
      <c r="A173" s="40">
        <v>15.0</v>
      </c>
      <c r="B173" s="27" t="s">
        <v>232</v>
      </c>
      <c r="C173" s="8" t="s">
        <v>22</v>
      </c>
      <c r="D173" s="28"/>
      <c r="E173" s="28" t="s">
        <v>233</v>
      </c>
      <c r="F173" s="28" t="s">
        <v>234</v>
      </c>
    </row>
    <row r="174">
      <c r="A174" s="39">
        <v>16.0</v>
      </c>
      <c r="B174" s="27" t="s">
        <v>235</v>
      </c>
      <c r="C174" s="8" t="s">
        <v>22</v>
      </c>
      <c r="D174" s="28"/>
      <c r="E174" s="28" t="s">
        <v>233</v>
      </c>
      <c r="F174" s="28" t="s">
        <v>234</v>
      </c>
    </row>
    <row r="175">
      <c r="A175" s="40">
        <v>17.0</v>
      </c>
      <c r="B175" s="27" t="s">
        <v>142</v>
      </c>
      <c r="C175" s="8" t="s">
        <v>22</v>
      </c>
      <c r="D175" s="28" t="s">
        <v>236</v>
      </c>
      <c r="E175" s="28" t="s">
        <v>233</v>
      </c>
      <c r="F175" s="28" t="s">
        <v>234</v>
      </c>
    </row>
    <row r="176">
      <c r="A176" s="40">
        <v>18.0</v>
      </c>
      <c r="B176" s="27" t="s">
        <v>237</v>
      </c>
      <c r="C176" s="8" t="s">
        <v>22</v>
      </c>
      <c r="D176" s="28" t="s">
        <v>238</v>
      </c>
      <c r="E176" s="28" t="s">
        <v>233</v>
      </c>
      <c r="F176" s="28" t="s">
        <v>234</v>
      </c>
    </row>
    <row r="177">
      <c r="A177" s="39">
        <v>19.0</v>
      </c>
      <c r="B177" s="27" t="s">
        <v>239</v>
      </c>
      <c r="C177" s="8" t="s">
        <v>22</v>
      </c>
      <c r="D177" s="28" t="s">
        <v>240</v>
      </c>
      <c r="E177" s="28" t="s">
        <v>233</v>
      </c>
      <c r="F177" s="28" t="s">
        <v>234</v>
      </c>
    </row>
    <row r="178">
      <c r="A178" s="40">
        <v>20.0</v>
      </c>
      <c r="B178" s="27" t="s">
        <v>241</v>
      </c>
      <c r="C178" s="8" t="s">
        <v>22</v>
      </c>
      <c r="D178" s="28" t="s">
        <v>228</v>
      </c>
      <c r="E178" s="28" t="s">
        <v>233</v>
      </c>
      <c r="F178" s="28" t="s">
        <v>234</v>
      </c>
    </row>
    <row r="179">
      <c r="A179" s="39">
        <v>21.0</v>
      </c>
      <c r="B179" s="27" t="s">
        <v>222</v>
      </c>
      <c r="C179" s="8" t="s">
        <v>22</v>
      </c>
      <c r="D179" s="28" t="s">
        <v>63</v>
      </c>
      <c r="E179" s="28" t="s">
        <v>242</v>
      </c>
      <c r="F179" s="28" t="s">
        <v>243</v>
      </c>
    </row>
    <row r="180">
      <c r="A180" s="40">
        <v>22.0</v>
      </c>
      <c r="B180" s="27" t="s">
        <v>106</v>
      </c>
      <c r="C180" s="8" t="s">
        <v>22</v>
      </c>
      <c r="D180" s="28" t="s">
        <v>63</v>
      </c>
      <c r="E180" s="28" t="s">
        <v>242</v>
      </c>
      <c r="F180" s="28" t="s">
        <v>243</v>
      </c>
    </row>
    <row r="181">
      <c r="A181" s="40">
        <v>23.0</v>
      </c>
      <c r="B181" s="27" t="s">
        <v>106</v>
      </c>
      <c r="C181" s="8" t="s">
        <v>22</v>
      </c>
      <c r="D181" s="28" t="s">
        <v>63</v>
      </c>
      <c r="E181" s="28" t="s">
        <v>242</v>
      </c>
      <c r="F181" s="28" t="s">
        <v>243</v>
      </c>
    </row>
    <row r="182">
      <c r="A182" s="39">
        <v>24.0</v>
      </c>
      <c r="B182" s="27" t="s">
        <v>106</v>
      </c>
      <c r="C182" s="8" t="s">
        <v>22</v>
      </c>
      <c r="D182" s="28" t="s">
        <v>63</v>
      </c>
      <c r="E182" s="28" t="s">
        <v>242</v>
      </c>
      <c r="F182" s="28" t="s">
        <v>243</v>
      </c>
    </row>
    <row r="183">
      <c r="A183" s="40">
        <v>25.0</v>
      </c>
      <c r="B183" s="27" t="s">
        <v>106</v>
      </c>
      <c r="C183" s="8" t="s">
        <v>22</v>
      </c>
      <c r="D183" s="28" t="s">
        <v>63</v>
      </c>
      <c r="E183" s="28" t="s">
        <v>242</v>
      </c>
      <c r="F183" s="28" t="s">
        <v>243</v>
      </c>
    </row>
    <row r="184">
      <c r="A184" s="39">
        <v>26.0</v>
      </c>
      <c r="B184" s="42" t="s">
        <v>244</v>
      </c>
      <c r="C184" s="8" t="s">
        <v>22</v>
      </c>
      <c r="D184" s="28" t="s">
        <v>63</v>
      </c>
      <c r="E184" s="28" t="s">
        <v>242</v>
      </c>
      <c r="F184" s="28" t="s">
        <v>243</v>
      </c>
    </row>
    <row r="185">
      <c r="A185" s="30"/>
      <c r="B185" s="31"/>
      <c r="C185" s="8"/>
      <c r="D185" s="33"/>
      <c r="E185" s="33"/>
      <c r="F185" s="31"/>
    </row>
    <row r="186">
      <c r="A186" s="43" t="s">
        <v>245</v>
      </c>
      <c r="B186" s="18"/>
      <c r="C186" s="18"/>
      <c r="D186" s="18"/>
      <c r="E186" s="18"/>
      <c r="F186" s="4"/>
    </row>
    <row r="187">
      <c r="A187" s="23">
        <v>1.0</v>
      </c>
      <c r="B187" s="27" t="s">
        <v>246</v>
      </c>
      <c r="C187" s="8" t="s">
        <v>22</v>
      </c>
      <c r="D187" s="28" t="s">
        <v>247</v>
      </c>
      <c r="E187" s="28" t="s">
        <v>248</v>
      </c>
      <c r="F187" s="27" t="s">
        <v>249</v>
      </c>
    </row>
    <row r="188">
      <c r="A188" s="23">
        <v>2.0</v>
      </c>
      <c r="B188" s="44" t="s">
        <v>250</v>
      </c>
      <c r="C188" s="8" t="s">
        <v>22</v>
      </c>
      <c r="D188" s="44" t="s">
        <v>251</v>
      </c>
      <c r="E188" s="28" t="s">
        <v>252</v>
      </c>
      <c r="F188" s="27" t="s">
        <v>249</v>
      </c>
    </row>
    <row r="189">
      <c r="A189" s="23">
        <v>3.0</v>
      </c>
      <c r="B189" s="27" t="s">
        <v>253</v>
      </c>
      <c r="C189" s="8" t="s">
        <v>22</v>
      </c>
      <c r="D189" s="28" t="s">
        <v>254</v>
      </c>
      <c r="E189" s="28" t="s">
        <v>255</v>
      </c>
      <c r="F189" s="28" t="s">
        <v>256</v>
      </c>
    </row>
    <row r="190">
      <c r="A190" s="23">
        <v>4.0</v>
      </c>
      <c r="B190" s="27" t="s">
        <v>201</v>
      </c>
      <c r="C190" s="8" t="s">
        <v>22</v>
      </c>
      <c r="D190" s="28" t="s">
        <v>99</v>
      </c>
      <c r="E190" s="28" t="s">
        <v>257</v>
      </c>
      <c r="F190" s="28" t="s">
        <v>258</v>
      </c>
    </row>
    <row r="191">
      <c r="A191" s="23">
        <v>5.0</v>
      </c>
      <c r="B191" s="27" t="s">
        <v>259</v>
      </c>
      <c r="C191" s="8" t="s">
        <v>22</v>
      </c>
      <c r="D191" s="28" t="s">
        <v>260</v>
      </c>
      <c r="E191" s="28" t="s">
        <v>257</v>
      </c>
      <c r="F191" s="28" t="s">
        <v>258</v>
      </c>
    </row>
    <row r="192">
      <c r="A192" s="23">
        <v>6.0</v>
      </c>
      <c r="B192" s="27" t="s">
        <v>259</v>
      </c>
      <c r="C192" s="8" t="s">
        <v>22</v>
      </c>
      <c r="D192" s="28" t="s">
        <v>260</v>
      </c>
      <c r="E192" s="28" t="s">
        <v>261</v>
      </c>
      <c r="F192" s="28" t="s">
        <v>258</v>
      </c>
    </row>
    <row r="193">
      <c r="A193" s="23">
        <v>7.0</v>
      </c>
      <c r="B193" s="29" t="s">
        <v>134</v>
      </c>
      <c r="C193" s="8" t="s">
        <v>22</v>
      </c>
      <c r="D193" s="28" t="s">
        <v>260</v>
      </c>
      <c r="E193" s="28" t="s">
        <v>257</v>
      </c>
      <c r="F193" s="28" t="s">
        <v>258</v>
      </c>
    </row>
    <row r="194">
      <c r="A194" s="23">
        <v>8.0</v>
      </c>
      <c r="B194" s="29" t="s">
        <v>262</v>
      </c>
      <c r="C194" s="8" t="s">
        <v>22</v>
      </c>
      <c r="D194" s="28"/>
      <c r="E194" s="28"/>
      <c r="F194" s="28"/>
    </row>
    <row r="195">
      <c r="A195" s="23">
        <v>9.0</v>
      </c>
      <c r="B195" s="27" t="s">
        <v>263</v>
      </c>
      <c r="C195" s="8" t="s">
        <v>22</v>
      </c>
      <c r="D195" s="28" t="s">
        <v>264</v>
      </c>
      <c r="E195" s="28" t="s">
        <v>257</v>
      </c>
      <c r="F195" s="28" t="s">
        <v>258</v>
      </c>
    </row>
    <row r="196">
      <c r="A196" s="23">
        <v>10.0</v>
      </c>
      <c r="B196" s="27" t="s">
        <v>263</v>
      </c>
      <c r="C196" s="8" t="s">
        <v>22</v>
      </c>
      <c r="D196" s="28" t="s">
        <v>265</v>
      </c>
      <c r="E196" s="28" t="s">
        <v>257</v>
      </c>
      <c r="F196" s="28" t="s">
        <v>258</v>
      </c>
    </row>
    <row r="197">
      <c r="A197" s="23">
        <v>11.0</v>
      </c>
      <c r="B197" s="27" t="s">
        <v>266</v>
      </c>
      <c r="C197" s="8" t="s">
        <v>22</v>
      </c>
      <c r="D197" s="28" t="s">
        <v>267</v>
      </c>
      <c r="E197" s="28" t="s">
        <v>257</v>
      </c>
      <c r="F197" s="28" t="s">
        <v>258</v>
      </c>
    </row>
    <row r="198">
      <c r="A198" s="23">
        <v>12.0</v>
      </c>
      <c r="B198" s="27" t="s">
        <v>266</v>
      </c>
      <c r="C198" s="8" t="s">
        <v>22</v>
      </c>
      <c r="D198" s="28" t="s">
        <v>260</v>
      </c>
      <c r="E198" s="28"/>
      <c r="F198" s="28" t="s">
        <v>258</v>
      </c>
    </row>
    <row r="199">
      <c r="A199" s="23">
        <v>13.0</v>
      </c>
      <c r="B199" s="27" t="s">
        <v>266</v>
      </c>
      <c r="C199" s="8" t="s">
        <v>22</v>
      </c>
      <c r="D199" s="28" t="s">
        <v>63</v>
      </c>
      <c r="E199" s="28"/>
      <c r="F199" s="28" t="s">
        <v>258</v>
      </c>
    </row>
    <row r="200">
      <c r="A200" s="23">
        <v>14.0</v>
      </c>
      <c r="B200" s="27" t="s">
        <v>268</v>
      </c>
      <c r="C200" s="8" t="s">
        <v>22</v>
      </c>
      <c r="D200" s="28" t="s">
        <v>63</v>
      </c>
      <c r="E200" s="28"/>
      <c r="F200" s="27" t="s">
        <v>269</v>
      </c>
    </row>
    <row r="201">
      <c r="A201" s="23">
        <v>15.0</v>
      </c>
      <c r="B201" s="27" t="s">
        <v>270</v>
      </c>
      <c r="C201" s="8" t="s">
        <v>22</v>
      </c>
      <c r="D201" s="28"/>
      <c r="E201" s="28" t="s">
        <v>271</v>
      </c>
      <c r="F201" s="27" t="s">
        <v>269</v>
      </c>
    </row>
    <row r="202">
      <c r="A202" s="23">
        <v>16.0</v>
      </c>
      <c r="B202" s="27" t="s">
        <v>270</v>
      </c>
      <c r="C202" s="8" t="s">
        <v>22</v>
      </c>
      <c r="D202" s="28"/>
      <c r="E202" s="28" t="s">
        <v>271</v>
      </c>
      <c r="F202" s="27" t="s">
        <v>269</v>
      </c>
    </row>
    <row r="203">
      <c r="A203" s="30"/>
      <c r="B203" s="31"/>
      <c r="C203" s="8"/>
      <c r="D203" s="33"/>
      <c r="E203" s="33"/>
      <c r="F203" s="31"/>
    </row>
    <row r="204">
      <c r="A204" s="38" t="s">
        <v>272</v>
      </c>
    </row>
    <row r="205">
      <c r="A205" s="23">
        <v>1.0</v>
      </c>
      <c r="B205" s="27" t="s">
        <v>273</v>
      </c>
      <c r="C205" s="8" t="s">
        <v>22</v>
      </c>
      <c r="D205" s="28" t="s">
        <v>274</v>
      </c>
      <c r="E205" s="28" t="s">
        <v>275</v>
      </c>
      <c r="F205" s="27" t="s">
        <v>276</v>
      </c>
    </row>
    <row r="206">
      <c r="A206" s="23">
        <v>2.0</v>
      </c>
      <c r="B206" s="29" t="s">
        <v>106</v>
      </c>
      <c r="C206" s="8" t="s">
        <v>22</v>
      </c>
      <c r="D206" s="28" t="s">
        <v>146</v>
      </c>
      <c r="E206" s="28" t="s">
        <v>275</v>
      </c>
      <c r="F206" s="27" t="s">
        <v>276</v>
      </c>
    </row>
    <row r="207">
      <c r="A207" s="23">
        <v>3.0</v>
      </c>
      <c r="B207" s="29" t="s">
        <v>277</v>
      </c>
      <c r="C207" s="8" t="s">
        <v>22</v>
      </c>
      <c r="D207" s="28" t="s">
        <v>278</v>
      </c>
      <c r="E207" s="28" t="s">
        <v>275</v>
      </c>
      <c r="F207" s="27" t="s">
        <v>276</v>
      </c>
    </row>
    <row r="208">
      <c r="A208" s="23">
        <v>4.0</v>
      </c>
      <c r="B208" s="29" t="s">
        <v>279</v>
      </c>
      <c r="C208" s="8" t="s">
        <v>22</v>
      </c>
      <c r="D208" s="28" t="s">
        <v>280</v>
      </c>
      <c r="E208" s="28" t="s">
        <v>275</v>
      </c>
      <c r="F208" s="27" t="s">
        <v>276</v>
      </c>
    </row>
    <row r="209">
      <c r="A209" s="23">
        <v>5.0</v>
      </c>
      <c r="B209" s="29" t="s">
        <v>281</v>
      </c>
      <c r="C209" s="8" t="s">
        <v>22</v>
      </c>
      <c r="D209" s="28" t="s">
        <v>282</v>
      </c>
      <c r="E209" s="28" t="s">
        <v>275</v>
      </c>
      <c r="F209" s="27" t="s">
        <v>276</v>
      </c>
    </row>
    <row r="210">
      <c r="A210" s="23">
        <v>6.0</v>
      </c>
      <c r="B210" s="29" t="s">
        <v>283</v>
      </c>
      <c r="C210" s="8" t="s">
        <v>22</v>
      </c>
      <c r="D210" s="28" t="s">
        <v>284</v>
      </c>
      <c r="E210" s="28" t="s">
        <v>275</v>
      </c>
      <c r="F210" s="27" t="s">
        <v>276</v>
      </c>
    </row>
    <row r="211">
      <c r="A211" s="23">
        <v>7.0</v>
      </c>
      <c r="B211" s="29" t="s">
        <v>283</v>
      </c>
      <c r="C211" s="8" t="s">
        <v>22</v>
      </c>
      <c r="D211" s="28" t="s">
        <v>285</v>
      </c>
      <c r="E211" s="28" t="s">
        <v>275</v>
      </c>
      <c r="F211" s="27" t="s">
        <v>276</v>
      </c>
    </row>
    <row r="212">
      <c r="A212" s="23">
        <v>8.0</v>
      </c>
      <c r="B212" s="29" t="s">
        <v>273</v>
      </c>
      <c r="C212" s="8" t="s">
        <v>22</v>
      </c>
      <c r="D212" s="28" t="s">
        <v>286</v>
      </c>
      <c r="E212" s="28" t="s">
        <v>287</v>
      </c>
      <c r="F212" s="27" t="s">
        <v>276</v>
      </c>
    </row>
    <row r="213">
      <c r="A213" s="23">
        <v>9.0</v>
      </c>
      <c r="B213" s="37" t="s">
        <v>288</v>
      </c>
      <c r="C213" s="8" t="s">
        <v>22</v>
      </c>
      <c r="D213" s="28" t="s">
        <v>289</v>
      </c>
      <c r="E213" s="28" t="s">
        <v>290</v>
      </c>
      <c r="F213" s="27" t="s">
        <v>291</v>
      </c>
    </row>
    <row r="214">
      <c r="A214" s="23">
        <v>10.0</v>
      </c>
      <c r="B214" s="37" t="s">
        <v>292</v>
      </c>
      <c r="C214" s="8" t="s">
        <v>22</v>
      </c>
      <c r="D214" s="28" t="s">
        <v>293</v>
      </c>
      <c r="E214" s="28" t="s">
        <v>290</v>
      </c>
      <c r="F214" s="27" t="s">
        <v>291</v>
      </c>
    </row>
    <row r="215">
      <c r="A215" s="23">
        <v>11.0</v>
      </c>
      <c r="B215" s="28" t="s">
        <v>294</v>
      </c>
      <c r="C215" s="8" t="s">
        <v>22</v>
      </c>
      <c r="D215" s="28" t="s">
        <v>295</v>
      </c>
      <c r="E215" s="28" t="s">
        <v>296</v>
      </c>
      <c r="F215" s="27" t="s">
        <v>297</v>
      </c>
    </row>
    <row r="216">
      <c r="A216" s="23">
        <v>12.0</v>
      </c>
      <c r="B216" s="28" t="s">
        <v>298</v>
      </c>
      <c r="C216" s="8" t="s">
        <v>22</v>
      </c>
      <c r="D216" s="28" t="s">
        <v>299</v>
      </c>
      <c r="E216" s="28" t="s">
        <v>296</v>
      </c>
      <c r="F216" s="27" t="s">
        <v>297</v>
      </c>
    </row>
    <row r="217">
      <c r="A217" s="23">
        <v>13.0</v>
      </c>
      <c r="B217" s="28" t="s">
        <v>180</v>
      </c>
      <c r="C217" s="8" t="s">
        <v>22</v>
      </c>
      <c r="D217" s="28" t="s">
        <v>300</v>
      </c>
      <c r="E217" s="28" t="s">
        <v>296</v>
      </c>
      <c r="F217" s="27" t="s">
        <v>297</v>
      </c>
    </row>
    <row r="218">
      <c r="A218" s="23">
        <v>14.0</v>
      </c>
      <c r="B218" s="45" t="s">
        <v>134</v>
      </c>
      <c r="C218" s="8" t="s">
        <v>22</v>
      </c>
      <c r="D218" s="45" t="s">
        <v>301</v>
      </c>
      <c r="E218" s="28" t="s">
        <v>296</v>
      </c>
      <c r="F218" s="27" t="s">
        <v>297</v>
      </c>
    </row>
    <row r="219">
      <c r="A219" s="23">
        <v>15.0</v>
      </c>
      <c r="B219" s="28" t="s">
        <v>302</v>
      </c>
      <c r="C219" s="8" t="s">
        <v>22</v>
      </c>
      <c r="D219" s="28" t="s">
        <v>303</v>
      </c>
      <c r="E219" s="28" t="s">
        <v>304</v>
      </c>
      <c r="F219" s="27" t="s">
        <v>305</v>
      </c>
    </row>
    <row r="220">
      <c r="A220" s="23">
        <v>16.0</v>
      </c>
      <c r="B220" s="28" t="s">
        <v>101</v>
      </c>
      <c r="C220" s="8" t="s">
        <v>22</v>
      </c>
      <c r="D220" s="37" t="s">
        <v>63</v>
      </c>
      <c r="E220" s="28" t="s">
        <v>306</v>
      </c>
      <c r="F220" s="27" t="s">
        <v>307</v>
      </c>
    </row>
    <row r="221">
      <c r="A221" s="23">
        <v>17.0</v>
      </c>
      <c r="B221" s="28" t="s">
        <v>101</v>
      </c>
      <c r="C221" s="8" t="s">
        <v>22</v>
      </c>
      <c r="D221" s="37" t="s">
        <v>63</v>
      </c>
      <c r="E221" s="28" t="s">
        <v>308</v>
      </c>
      <c r="F221" s="27" t="s">
        <v>307</v>
      </c>
    </row>
    <row r="222">
      <c r="A222" s="23">
        <v>18.0</v>
      </c>
      <c r="B222" s="27" t="s">
        <v>309</v>
      </c>
      <c r="C222" s="8" t="s">
        <v>22</v>
      </c>
      <c r="D222" s="28" t="s">
        <v>310</v>
      </c>
      <c r="E222" s="28" t="s">
        <v>311</v>
      </c>
      <c r="F222" s="27" t="s">
        <v>312</v>
      </c>
    </row>
    <row r="223">
      <c r="A223" s="23">
        <v>19.0</v>
      </c>
      <c r="B223" s="27" t="s">
        <v>313</v>
      </c>
      <c r="C223" s="8" t="s">
        <v>22</v>
      </c>
      <c r="D223" s="28" t="s">
        <v>314</v>
      </c>
      <c r="E223" s="28" t="s">
        <v>311</v>
      </c>
      <c r="F223" s="27" t="s">
        <v>312</v>
      </c>
    </row>
    <row r="224">
      <c r="A224" s="23">
        <v>20.0</v>
      </c>
      <c r="B224" s="27" t="s">
        <v>292</v>
      </c>
      <c r="C224" s="8" t="s">
        <v>22</v>
      </c>
      <c r="D224" s="28" t="s">
        <v>315</v>
      </c>
      <c r="E224" s="28" t="s">
        <v>311</v>
      </c>
      <c r="F224" s="27" t="s">
        <v>312</v>
      </c>
    </row>
    <row r="225">
      <c r="A225" s="23">
        <v>21.0</v>
      </c>
      <c r="B225" s="27" t="s">
        <v>128</v>
      </c>
      <c r="C225" s="8" t="s">
        <v>22</v>
      </c>
      <c r="D225" s="28" t="s">
        <v>316</v>
      </c>
      <c r="E225" s="28" t="s">
        <v>311</v>
      </c>
      <c r="F225" s="27" t="s">
        <v>312</v>
      </c>
    </row>
    <row r="226">
      <c r="A226" s="23">
        <v>22.0</v>
      </c>
      <c r="B226" s="27" t="s">
        <v>128</v>
      </c>
      <c r="C226" s="8" t="s">
        <v>22</v>
      </c>
      <c r="D226" s="28" t="s">
        <v>317</v>
      </c>
      <c r="E226" s="28" t="s">
        <v>311</v>
      </c>
      <c r="F226" s="27" t="s">
        <v>312</v>
      </c>
    </row>
    <row r="227">
      <c r="A227" s="30"/>
      <c r="B227" s="31"/>
      <c r="C227" s="32"/>
      <c r="D227" s="33"/>
      <c r="E227" s="33"/>
      <c r="F227" s="31"/>
    </row>
  </sheetData>
  <mergeCells count="5">
    <mergeCell ref="A1:F1"/>
    <mergeCell ref="A3:F3"/>
    <mergeCell ref="A158:F158"/>
    <mergeCell ref="A186:F186"/>
    <mergeCell ref="A204:F20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6.75"/>
    <col customWidth="1" min="3" max="3" width="16.5"/>
    <col customWidth="1" min="4" max="4" width="24.88"/>
    <col customWidth="1" min="5" max="5" width="22.88"/>
    <col customWidth="1" min="6" max="6" width="19.5"/>
    <col customWidth="1" min="7" max="7" width="38.25"/>
  </cols>
  <sheetData>
    <row r="1">
      <c r="A1" s="17" t="s">
        <v>318</v>
      </c>
      <c r="B1" s="18"/>
      <c r="C1" s="18"/>
      <c r="D1" s="18"/>
      <c r="E1" s="18"/>
      <c r="F1" s="4"/>
      <c r="G1" s="32"/>
    </row>
    <row r="2">
      <c r="A2" s="46" t="s">
        <v>14</v>
      </c>
      <c r="B2" s="46" t="s">
        <v>15</v>
      </c>
      <c r="C2" s="46" t="s">
        <v>16</v>
      </c>
      <c r="D2" s="46" t="s">
        <v>17</v>
      </c>
      <c r="E2" s="46" t="s">
        <v>18</v>
      </c>
      <c r="F2" s="46" t="s">
        <v>19</v>
      </c>
      <c r="G2" s="47"/>
    </row>
    <row r="3">
      <c r="A3" s="48" t="s">
        <v>319</v>
      </c>
      <c r="B3" s="18"/>
      <c r="C3" s="18"/>
      <c r="D3" s="18"/>
      <c r="E3" s="18"/>
      <c r="F3" s="4"/>
      <c r="G3" s="32"/>
    </row>
    <row r="4">
      <c r="A4" s="49">
        <v>1.0</v>
      </c>
      <c r="B4" s="35" t="s">
        <v>320</v>
      </c>
      <c r="C4" s="50" t="s">
        <v>22</v>
      </c>
      <c r="D4" s="51" t="s">
        <v>321</v>
      </c>
      <c r="E4" s="51" t="s">
        <v>92</v>
      </c>
      <c r="F4" s="50" t="s">
        <v>65</v>
      </c>
      <c r="G4" s="32"/>
    </row>
    <row r="5">
      <c r="A5" s="49">
        <v>2.0</v>
      </c>
      <c r="B5" s="35" t="s">
        <v>322</v>
      </c>
      <c r="C5" s="50" t="s">
        <v>22</v>
      </c>
      <c r="D5" s="51" t="s">
        <v>323</v>
      </c>
      <c r="E5" s="51" t="s">
        <v>96</v>
      </c>
      <c r="F5" s="50" t="s">
        <v>65</v>
      </c>
      <c r="G5" s="32"/>
    </row>
    <row r="6">
      <c r="A6" s="49">
        <v>3.0</v>
      </c>
      <c r="B6" s="52" t="s">
        <v>324</v>
      </c>
      <c r="C6" s="50" t="s">
        <v>22</v>
      </c>
      <c r="D6" s="53" t="s">
        <v>63</v>
      </c>
      <c r="E6" s="51" t="s">
        <v>118</v>
      </c>
      <c r="F6" s="50" t="s">
        <v>65</v>
      </c>
      <c r="G6" s="32"/>
    </row>
    <row r="7">
      <c r="A7" s="54"/>
      <c r="B7" s="24"/>
      <c r="C7" s="50"/>
      <c r="D7" s="55"/>
      <c r="E7" s="55"/>
      <c r="F7" s="55"/>
      <c r="G7" s="32"/>
    </row>
    <row r="8">
      <c r="A8" s="54"/>
      <c r="B8" s="56" t="s">
        <v>272</v>
      </c>
      <c r="C8" s="18"/>
      <c r="D8" s="18"/>
      <c r="E8" s="18"/>
      <c r="F8" s="4"/>
      <c r="G8" s="32"/>
    </row>
    <row r="9">
      <c r="A9" s="49">
        <v>1.0</v>
      </c>
      <c r="B9" s="28" t="s">
        <v>325</v>
      </c>
      <c r="C9" s="50" t="s">
        <v>22</v>
      </c>
      <c r="D9" s="57" t="s">
        <v>326</v>
      </c>
      <c r="E9" s="57" t="s">
        <v>287</v>
      </c>
      <c r="F9" s="57" t="s">
        <v>276</v>
      </c>
      <c r="G9" s="32"/>
    </row>
    <row r="10">
      <c r="A10" s="49">
        <v>2.0</v>
      </c>
      <c r="B10" s="58" t="s">
        <v>327</v>
      </c>
      <c r="C10" s="50" t="s">
        <v>22</v>
      </c>
      <c r="D10" s="59"/>
      <c r="E10" s="57" t="s">
        <v>328</v>
      </c>
      <c r="F10" s="57" t="s">
        <v>329</v>
      </c>
      <c r="G10" s="60" t="s">
        <v>330</v>
      </c>
    </row>
    <row r="11">
      <c r="A11" s="49">
        <v>3.0</v>
      </c>
      <c r="B11" s="28" t="s">
        <v>331</v>
      </c>
      <c r="C11" s="50" t="s">
        <v>22</v>
      </c>
      <c r="D11" s="57" t="s">
        <v>332</v>
      </c>
      <c r="E11" s="57" t="s">
        <v>311</v>
      </c>
      <c r="F11" s="57" t="s">
        <v>312</v>
      </c>
      <c r="G11" s="32"/>
    </row>
    <row r="12">
      <c r="A12" s="23">
        <v>4.0</v>
      </c>
      <c r="B12" s="59" t="s">
        <v>333</v>
      </c>
      <c r="C12" s="50" t="s">
        <v>22</v>
      </c>
      <c r="D12" s="61"/>
      <c r="E12" s="8" t="s">
        <v>334</v>
      </c>
      <c r="F12" s="8" t="s">
        <v>335</v>
      </c>
      <c r="G12" s="60" t="s">
        <v>330</v>
      </c>
    </row>
    <row r="13">
      <c r="A13" s="30"/>
      <c r="B13" s="33"/>
      <c r="C13" s="62"/>
      <c r="D13" s="62"/>
      <c r="E13" s="32"/>
      <c r="F13" s="32"/>
      <c r="G13" s="32"/>
    </row>
  </sheetData>
  <mergeCells count="3">
    <mergeCell ref="A1:F1"/>
    <mergeCell ref="A3:F3"/>
    <mergeCell ref="B8:F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5"/>
    <col customWidth="1" min="3" max="3" width="13.0"/>
    <col customWidth="1" min="4" max="4" width="18.5"/>
    <col customWidth="1" min="5" max="5" width="12.75"/>
    <col customWidth="1" min="6" max="6" width="19.5"/>
    <col customWidth="1" min="7" max="7" width="9.0"/>
    <col customWidth="1" min="8" max="8" width="9.88"/>
    <col customWidth="1" min="9" max="9" width="11.38"/>
    <col customWidth="1" min="10" max="10" width="13.75"/>
    <col customWidth="1" min="11" max="11" width="10.38"/>
    <col customWidth="1" min="12" max="12" width="10.88"/>
    <col customWidth="1" min="13" max="13" width="10.75"/>
    <col customWidth="1" min="14" max="14" width="8.38"/>
    <col customWidth="1" min="15" max="15" width="12.5"/>
  </cols>
  <sheetData>
    <row r="1">
      <c r="A1" s="63" t="s">
        <v>336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>
      <c r="A2" s="64" t="s">
        <v>337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4"/>
    </row>
    <row r="3">
      <c r="A3" s="65" t="s">
        <v>338</v>
      </c>
      <c r="B3" s="18"/>
      <c r="C3" s="18"/>
      <c r="D3" s="4"/>
      <c r="E3" s="66"/>
      <c r="F3" s="66"/>
      <c r="G3" s="66"/>
      <c r="H3" s="67"/>
      <c r="I3" s="67"/>
      <c r="J3" s="67"/>
      <c r="K3" s="67"/>
      <c r="L3" s="67"/>
      <c r="M3" s="67"/>
      <c r="N3" s="67"/>
      <c r="O3" s="68"/>
    </row>
    <row r="4">
      <c r="A4" s="67" t="s">
        <v>339</v>
      </c>
      <c r="B4" s="66" t="s">
        <v>340</v>
      </c>
      <c r="C4" s="66" t="s">
        <v>341</v>
      </c>
      <c r="D4" s="66" t="s">
        <v>342</v>
      </c>
      <c r="E4" s="66" t="s">
        <v>343</v>
      </c>
      <c r="F4" s="66" t="s">
        <v>344</v>
      </c>
      <c r="G4" s="66" t="s">
        <v>345</v>
      </c>
      <c r="H4" s="67" t="s">
        <v>346</v>
      </c>
      <c r="I4" s="67" t="s">
        <v>347</v>
      </c>
      <c r="J4" s="67" t="s">
        <v>348</v>
      </c>
      <c r="K4" s="67" t="s">
        <v>349</v>
      </c>
      <c r="L4" s="67" t="s">
        <v>350</v>
      </c>
      <c r="M4" s="67" t="s">
        <v>351</v>
      </c>
      <c r="N4" s="67" t="s">
        <v>352</v>
      </c>
      <c r="O4" s="69" t="s">
        <v>353</v>
      </c>
    </row>
    <row r="5">
      <c r="A5" s="70">
        <v>1.0</v>
      </c>
      <c r="B5" s="71" t="s">
        <v>354</v>
      </c>
      <c r="C5" s="71" t="s">
        <v>355</v>
      </c>
      <c r="D5" s="71" t="s">
        <v>356</v>
      </c>
      <c r="E5" s="72">
        <v>42733.0</v>
      </c>
      <c r="F5" s="71" t="s">
        <v>357</v>
      </c>
      <c r="G5" s="73">
        <v>5.0</v>
      </c>
      <c r="H5" s="74">
        <v>2750.0</v>
      </c>
      <c r="I5" s="74">
        <v>55.0</v>
      </c>
      <c r="J5" s="74">
        <v>2695.0</v>
      </c>
      <c r="K5" s="74">
        <v>1.48</v>
      </c>
      <c r="L5" s="74">
        <v>2694.0</v>
      </c>
      <c r="M5" s="74">
        <v>0.0</v>
      </c>
      <c r="N5" s="74">
        <v>1.0</v>
      </c>
      <c r="O5" s="75">
        <f t="shared" ref="O5:O10" si="1">I5+N5</f>
        <v>56</v>
      </c>
    </row>
    <row r="6">
      <c r="A6" s="70">
        <v>2.0</v>
      </c>
      <c r="B6" s="71" t="s">
        <v>358</v>
      </c>
      <c r="C6" s="71" t="s">
        <v>359</v>
      </c>
      <c r="D6" s="71" t="s">
        <v>356</v>
      </c>
      <c r="E6" s="72">
        <v>42565.0</v>
      </c>
      <c r="F6" s="71" t="s">
        <v>360</v>
      </c>
      <c r="G6" s="73">
        <v>5.0</v>
      </c>
      <c r="H6" s="74">
        <v>4990.0</v>
      </c>
      <c r="I6" s="74">
        <v>0.0</v>
      </c>
      <c r="J6" s="74">
        <v>4990.0</v>
      </c>
      <c r="K6" s="74">
        <v>2.73</v>
      </c>
      <c r="L6" s="74">
        <v>4989.0</v>
      </c>
      <c r="M6" s="74">
        <v>0.0</v>
      </c>
      <c r="N6" s="74">
        <v>1.0</v>
      </c>
      <c r="O6" s="75">
        <f t="shared" si="1"/>
        <v>1</v>
      </c>
    </row>
    <row r="7">
      <c r="A7" s="70">
        <v>3.0</v>
      </c>
      <c r="B7" s="71" t="s">
        <v>358</v>
      </c>
      <c r="C7" s="71" t="s">
        <v>361</v>
      </c>
      <c r="D7" s="71" t="s">
        <v>356</v>
      </c>
      <c r="E7" s="72">
        <v>42565.0</v>
      </c>
      <c r="F7" s="71" t="s">
        <v>360</v>
      </c>
      <c r="G7" s="73">
        <v>5.0</v>
      </c>
      <c r="H7" s="74">
        <v>4990.0</v>
      </c>
      <c r="I7" s="74">
        <v>99.8</v>
      </c>
      <c r="J7" s="74">
        <v>4890.2</v>
      </c>
      <c r="K7" s="74">
        <v>2.68</v>
      </c>
      <c r="L7" s="74">
        <v>4889.2</v>
      </c>
      <c r="M7" s="74">
        <v>0.0</v>
      </c>
      <c r="N7" s="74">
        <v>1.0</v>
      </c>
      <c r="O7" s="75">
        <f t="shared" si="1"/>
        <v>100.8</v>
      </c>
    </row>
    <row r="8">
      <c r="A8" s="70">
        <v>4.0</v>
      </c>
      <c r="B8" s="71" t="s">
        <v>362</v>
      </c>
      <c r="C8" s="71" t="s">
        <v>363</v>
      </c>
      <c r="D8" s="71" t="s">
        <v>356</v>
      </c>
      <c r="E8" s="72">
        <v>43202.0</v>
      </c>
      <c r="F8" s="71" t="s">
        <v>360</v>
      </c>
      <c r="G8" s="73">
        <v>5.0</v>
      </c>
      <c r="H8" s="74">
        <v>2189.0</v>
      </c>
      <c r="I8" s="74">
        <v>43.78</v>
      </c>
      <c r="J8" s="74">
        <v>2145.22</v>
      </c>
      <c r="K8" s="74">
        <v>1.18</v>
      </c>
      <c r="L8" s="74">
        <v>1871.13</v>
      </c>
      <c r="M8" s="74">
        <v>250.16</v>
      </c>
      <c r="N8" s="74">
        <v>23.93</v>
      </c>
      <c r="O8" s="75">
        <f t="shared" si="1"/>
        <v>67.71</v>
      </c>
    </row>
    <row r="9">
      <c r="A9" s="70">
        <v>5.0</v>
      </c>
      <c r="B9" s="71" t="s">
        <v>354</v>
      </c>
      <c r="C9" s="71" t="s">
        <v>364</v>
      </c>
      <c r="D9" s="71" t="s">
        <v>356</v>
      </c>
      <c r="E9" s="72">
        <v>43385.0</v>
      </c>
      <c r="F9" s="71" t="s">
        <v>365</v>
      </c>
      <c r="G9" s="73">
        <v>5.0</v>
      </c>
      <c r="H9" s="74">
        <v>2189.0</v>
      </c>
      <c r="I9" s="74">
        <v>43.78</v>
      </c>
      <c r="J9" s="74">
        <v>2145.22</v>
      </c>
      <c r="K9" s="74">
        <v>1.18</v>
      </c>
      <c r="L9" s="74">
        <v>1865.74</v>
      </c>
      <c r="M9" s="74">
        <v>250.16</v>
      </c>
      <c r="N9" s="74">
        <v>29.32</v>
      </c>
      <c r="O9" s="75">
        <f t="shared" si="1"/>
        <v>73.1</v>
      </c>
    </row>
    <row r="10">
      <c r="A10" s="70">
        <v>6.0</v>
      </c>
      <c r="B10" s="71" t="s">
        <v>366</v>
      </c>
      <c r="C10" s="71" t="s">
        <v>367</v>
      </c>
      <c r="D10" s="71" t="s">
        <v>356</v>
      </c>
      <c r="E10" s="72">
        <v>42565.0</v>
      </c>
      <c r="F10" s="71" t="s">
        <v>368</v>
      </c>
      <c r="G10" s="73">
        <v>5.0</v>
      </c>
      <c r="H10" s="74">
        <v>4990.0</v>
      </c>
      <c r="I10" s="74">
        <v>99.8</v>
      </c>
      <c r="J10" s="74">
        <v>4890.2</v>
      </c>
      <c r="K10" s="74">
        <v>2.68</v>
      </c>
      <c r="L10" s="74">
        <v>4889.2</v>
      </c>
      <c r="M10" s="74">
        <v>0.0</v>
      </c>
      <c r="N10" s="74">
        <v>1.0</v>
      </c>
      <c r="O10" s="75">
        <f t="shared" si="1"/>
        <v>100.8</v>
      </c>
    </row>
    <row r="11">
      <c r="A11" s="76"/>
      <c r="B11" s="77"/>
      <c r="C11" s="78"/>
      <c r="D11" s="78"/>
      <c r="E11" s="79"/>
      <c r="F11" s="78"/>
      <c r="G11" s="80"/>
      <c r="H11" s="76"/>
      <c r="I11" s="76"/>
      <c r="J11" s="76"/>
      <c r="K11" s="76"/>
      <c r="L11" s="76"/>
      <c r="M11" s="76"/>
      <c r="N11" s="76"/>
      <c r="O11" s="81"/>
    </row>
    <row r="12">
      <c r="A12" s="65" t="s">
        <v>369</v>
      </c>
      <c r="B12" s="18"/>
      <c r="C12" s="18"/>
      <c r="D12" s="4"/>
      <c r="E12" s="79"/>
      <c r="F12" s="78"/>
      <c r="G12" s="80"/>
      <c r="H12" s="76"/>
      <c r="I12" s="76"/>
      <c r="J12" s="76"/>
      <c r="K12" s="76"/>
      <c r="L12" s="76"/>
      <c r="M12" s="76"/>
      <c r="N12" s="76"/>
      <c r="O12" s="81"/>
    </row>
    <row r="13">
      <c r="A13" s="70">
        <v>1.0</v>
      </c>
      <c r="B13" s="71" t="s">
        <v>370</v>
      </c>
      <c r="C13" s="71" t="s">
        <v>371</v>
      </c>
      <c r="D13" s="71" t="s">
        <v>372</v>
      </c>
      <c r="E13" s="72">
        <v>39673.0</v>
      </c>
      <c r="F13" s="71" t="s">
        <v>373</v>
      </c>
      <c r="G13" s="73">
        <v>5.0</v>
      </c>
      <c r="H13" s="74">
        <v>1250.0</v>
      </c>
      <c r="I13" s="74">
        <v>0.0</v>
      </c>
      <c r="J13" s="74">
        <v>1250.0</v>
      </c>
      <c r="K13" s="74">
        <v>0.68</v>
      </c>
      <c r="L13" s="74">
        <v>1249.0</v>
      </c>
      <c r="M13" s="74">
        <v>0.0</v>
      </c>
      <c r="N13" s="74">
        <v>1.0</v>
      </c>
      <c r="O13" s="75">
        <f t="shared" ref="O13:O16" si="2">I13+N13</f>
        <v>1</v>
      </c>
    </row>
    <row r="14">
      <c r="A14" s="70">
        <v>2.0</v>
      </c>
      <c r="B14" s="71" t="s">
        <v>374</v>
      </c>
      <c r="C14" s="71" t="s">
        <v>375</v>
      </c>
      <c r="D14" s="71" t="s">
        <v>376</v>
      </c>
      <c r="E14" s="72">
        <v>43221.0</v>
      </c>
      <c r="F14" s="71" t="s">
        <v>377</v>
      </c>
      <c r="G14" s="73">
        <v>5.0</v>
      </c>
      <c r="H14" s="74">
        <v>65000.0</v>
      </c>
      <c r="I14" s="74">
        <v>1300.0</v>
      </c>
      <c r="J14" s="74">
        <v>63700.0</v>
      </c>
      <c r="K14" s="74">
        <v>34.9</v>
      </c>
      <c r="L14" s="74">
        <v>63699.0</v>
      </c>
      <c r="M14" s="74">
        <v>0.0</v>
      </c>
      <c r="N14" s="74">
        <v>1.0</v>
      </c>
      <c r="O14" s="75">
        <f t="shared" si="2"/>
        <v>1301</v>
      </c>
    </row>
    <row r="15">
      <c r="A15" s="70">
        <v>3.0</v>
      </c>
      <c r="B15" s="71" t="s">
        <v>378</v>
      </c>
      <c r="C15" s="71" t="s">
        <v>379</v>
      </c>
      <c r="D15" s="71" t="s">
        <v>380</v>
      </c>
      <c r="E15" s="72">
        <v>39737.0</v>
      </c>
      <c r="F15" s="71" t="s">
        <v>381</v>
      </c>
      <c r="G15" s="73">
        <v>5.0</v>
      </c>
      <c r="H15" s="74">
        <v>11100.0</v>
      </c>
      <c r="I15" s="74">
        <v>0.0</v>
      </c>
      <c r="J15" s="74">
        <v>11100.0</v>
      </c>
      <c r="K15" s="74">
        <v>6.08</v>
      </c>
      <c r="L15" s="74">
        <v>11099.0</v>
      </c>
      <c r="M15" s="74">
        <v>0.0</v>
      </c>
      <c r="N15" s="74">
        <v>1.0</v>
      </c>
      <c r="O15" s="75">
        <f t="shared" si="2"/>
        <v>1</v>
      </c>
    </row>
    <row r="16">
      <c r="A16" s="70">
        <v>4.0</v>
      </c>
      <c r="B16" s="71" t="s">
        <v>354</v>
      </c>
      <c r="C16" s="71" t="s">
        <v>382</v>
      </c>
      <c r="D16" s="71" t="s">
        <v>383</v>
      </c>
      <c r="E16" s="72">
        <v>43202.0</v>
      </c>
      <c r="F16" s="71" t="s">
        <v>381</v>
      </c>
      <c r="G16" s="73">
        <v>5.0</v>
      </c>
      <c r="H16" s="74">
        <v>2189.0</v>
      </c>
      <c r="I16" s="74">
        <v>43.78</v>
      </c>
      <c r="J16" s="74">
        <v>2145.22</v>
      </c>
      <c r="K16" s="74">
        <v>1.18</v>
      </c>
      <c r="L16" s="74">
        <v>1871.13</v>
      </c>
      <c r="M16" s="74">
        <v>250.16</v>
      </c>
      <c r="N16" s="74">
        <v>23.93</v>
      </c>
      <c r="O16" s="75">
        <f t="shared" si="2"/>
        <v>67.71</v>
      </c>
    </row>
    <row r="17">
      <c r="A17" s="82"/>
      <c r="B17" s="83"/>
      <c r="C17" s="84"/>
      <c r="D17" s="84"/>
      <c r="E17" s="85"/>
      <c r="F17" s="84"/>
      <c r="G17" s="86"/>
      <c r="H17" s="82"/>
      <c r="I17" s="82"/>
      <c r="J17" s="82"/>
      <c r="K17" s="82"/>
      <c r="L17" s="82"/>
      <c r="M17" s="82"/>
      <c r="N17" s="82"/>
      <c r="O17" s="87"/>
    </row>
    <row r="18">
      <c r="A18" s="88" t="s">
        <v>384</v>
      </c>
      <c r="B18" s="18"/>
      <c r="C18" s="18"/>
      <c r="D18" s="4"/>
      <c r="E18" s="85"/>
      <c r="F18" s="84"/>
      <c r="G18" s="86"/>
      <c r="H18" s="82"/>
      <c r="I18" s="82"/>
      <c r="J18" s="82"/>
      <c r="K18" s="82"/>
      <c r="L18" s="82"/>
      <c r="M18" s="82"/>
      <c r="N18" s="82"/>
      <c r="O18" s="87"/>
    </row>
    <row r="19">
      <c r="A19" s="89">
        <v>1.0</v>
      </c>
      <c r="B19" s="90" t="s">
        <v>385</v>
      </c>
      <c r="C19" s="90" t="s">
        <v>386</v>
      </c>
      <c r="D19" s="90" t="s">
        <v>384</v>
      </c>
      <c r="E19" s="91">
        <v>42967.0</v>
      </c>
      <c r="F19" s="90" t="s">
        <v>387</v>
      </c>
      <c r="G19" s="92">
        <v>5.0</v>
      </c>
      <c r="H19" s="93">
        <v>7900.0</v>
      </c>
      <c r="I19" s="93">
        <v>109.02</v>
      </c>
      <c r="J19" s="93">
        <v>7790.98</v>
      </c>
      <c r="K19" s="93">
        <v>4.27</v>
      </c>
      <c r="L19" s="93">
        <v>7789.98</v>
      </c>
      <c r="M19" s="93">
        <v>0.0</v>
      </c>
      <c r="N19" s="93">
        <v>1.0</v>
      </c>
      <c r="O19" s="94">
        <f t="shared" ref="O19:O21" si="3">I19+N19</f>
        <v>110.02</v>
      </c>
    </row>
    <row r="20">
      <c r="A20" s="89">
        <v>2.0</v>
      </c>
      <c r="B20" s="90" t="s">
        <v>385</v>
      </c>
      <c r="C20" s="90" t="s">
        <v>388</v>
      </c>
      <c r="D20" s="90" t="s">
        <v>384</v>
      </c>
      <c r="E20" s="91">
        <v>42602.0</v>
      </c>
      <c r="F20" s="90" t="s">
        <v>387</v>
      </c>
      <c r="G20" s="92">
        <v>5.0</v>
      </c>
      <c r="H20" s="93">
        <v>7900.0</v>
      </c>
      <c r="I20" s="93">
        <v>109.02</v>
      </c>
      <c r="J20" s="93">
        <v>7790.98</v>
      </c>
      <c r="K20" s="93">
        <v>4.27</v>
      </c>
      <c r="L20" s="93">
        <v>7789.98</v>
      </c>
      <c r="M20" s="93">
        <v>0.0</v>
      </c>
      <c r="N20" s="93">
        <v>1.0</v>
      </c>
      <c r="O20" s="94">
        <f t="shared" si="3"/>
        <v>110.02</v>
      </c>
    </row>
    <row r="21">
      <c r="A21" s="89">
        <v>3.0</v>
      </c>
      <c r="B21" s="90" t="s">
        <v>389</v>
      </c>
      <c r="C21" s="90" t="s">
        <v>390</v>
      </c>
      <c r="D21" s="90" t="s">
        <v>384</v>
      </c>
      <c r="E21" s="91">
        <v>43664.0</v>
      </c>
      <c r="F21" s="90" t="s">
        <v>387</v>
      </c>
      <c r="G21" s="92">
        <v>5.0</v>
      </c>
      <c r="H21" s="93">
        <v>18065.16</v>
      </c>
      <c r="I21" s="93">
        <v>361.3</v>
      </c>
      <c r="J21" s="93">
        <v>17703.86</v>
      </c>
      <c r="K21" s="93">
        <v>9.7</v>
      </c>
      <c r="L21" s="93">
        <v>15220.29</v>
      </c>
      <c r="M21" s="93">
        <v>2056.4</v>
      </c>
      <c r="N21" s="93">
        <v>427.17</v>
      </c>
      <c r="O21" s="94">
        <f t="shared" si="3"/>
        <v>788.47</v>
      </c>
    </row>
    <row r="22">
      <c r="A22" s="82"/>
      <c r="B22" s="83"/>
      <c r="C22" s="84"/>
      <c r="D22" s="84"/>
      <c r="E22" s="85"/>
      <c r="F22" s="84"/>
      <c r="G22" s="86"/>
      <c r="H22" s="82"/>
      <c r="I22" s="82"/>
      <c r="J22" s="82"/>
      <c r="K22" s="82"/>
      <c r="L22" s="82"/>
      <c r="M22" s="82"/>
      <c r="N22" s="82"/>
      <c r="O22" s="87"/>
    </row>
    <row r="23">
      <c r="A23" s="82"/>
      <c r="B23" s="83"/>
      <c r="C23" s="84"/>
      <c r="D23" s="84"/>
      <c r="E23" s="85"/>
      <c r="F23" s="84"/>
      <c r="G23" s="86"/>
      <c r="H23" s="82"/>
      <c r="I23" s="82"/>
      <c r="J23" s="82"/>
      <c r="K23" s="82"/>
      <c r="L23" s="82"/>
      <c r="M23" s="82"/>
      <c r="N23" s="82"/>
      <c r="O23" s="87"/>
    </row>
    <row r="24">
      <c r="A24" s="95" t="s">
        <v>391</v>
      </c>
      <c r="B24" s="18"/>
      <c r="C24" s="18"/>
      <c r="D24" s="18"/>
      <c r="E24" s="18"/>
      <c r="F24" s="96"/>
      <c r="G24" s="96"/>
      <c r="H24" s="96"/>
      <c r="I24" s="96"/>
      <c r="J24" s="96"/>
      <c r="K24" s="96"/>
      <c r="L24" s="96"/>
      <c r="M24" s="96"/>
      <c r="N24" s="96"/>
      <c r="O24" s="97"/>
    </row>
    <row r="25">
      <c r="A25" s="88" t="s">
        <v>208</v>
      </c>
      <c r="B25" s="18"/>
      <c r="C25" s="18"/>
      <c r="D25" s="4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9"/>
    </row>
    <row r="26">
      <c r="A26" s="89">
        <v>1.0</v>
      </c>
      <c r="B26" s="90" t="s">
        <v>392</v>
      </c>
      <c r="C26" s="90" t="s">
        <v>393</v>
      </c>
      <c r="D26" s="90" t="s">
        <v>208</v>
      </c>
      <c r="E26" s="91">
        <v>39570.0</v>
      </c>
      <c r="F26" s="90" t="s">
        <v>394</v>
      </c>
      <c r="G26" s="92">
        <v>5.0</v>
      </c>
      <c r="H26" s="93">
        <v>20999.0</v>
      </c>
      <c r="I26" s="93">
        <v>0.0</v>
      </c>
      <c r="J26" s="93">
        <v>20999.0</v>
      </c>
      <c r="K26" s="93">
        <v>11.51</v>
      </c>
      <c r="L26" s="93">
        <v>20998.0</v>
      </c>
      <c r="M26" s="93">
        <v>0.0</v>
      </c>
      <c r="N26" s="93">
        <v>1.0</v>
      </c>
      <c r="O26" s="94">
        <f t="shared" ref="O26:O40" si="4">I26+N26</f>
        <v>1</v>
      </c>
    </row>
    <row r="27">
      <c r="A27" s="89">
        <v>2.0</v>
      </c>
      <c r="B27" s="90" t="s">
        <v>395</v>
      </c>
      <c r="C27" s="90" t="s">
        <v>396</v>
      </c>
      <c r="D27" s="90" t="s">
        <v>208</v>
      </c>
      <c r="E27" s="91">
        <v>41478.0</v>
      </c>
      <c r="F27" s="90" t="s">
        <v>394</v>
      </c>
      <c r="G27" s="92">
        <v>5.0</v>
      </c>
      <c r="H27" s="93">
        <v>4950.0</v>
      </c>
      <c r="I27" s="93">
        <v>0.0</v>
      </c>
      <c r="J27" s="93">
        <v>4950.0</v>
      </c>
      <c r="K27" s="93">
        <v>2.71</v>
      </c>
      <c r="L27" s="93">
        <v>4949.0</v>
      </c>
      <c r="M27" s="93">
        <v>0.0</v>
      </c>
      <c r="N27" s="93">
        <v>1.0</v>
      </c>
      <c r="O27" s="94">
        <f t="shared" si="4"/>
        <v>1</v>
      </c>
    </row>
    <row r="28">
      <c r="A28" s="89">
        <v>3.0</v>
      </c>
      <c r="B28" s="90" t="s">
        <v>395</v>
      </c>
      <c r="C28" s="90" t="s">
        <v>397</v>
      </c>
      <c r="D28" s="90" t="s">
        <v>208</v>
      </c>
      <c r="E28" s="91">
        <v>41478.0</v>
      </c>
      <c r="F28" s="90" t="s">
        <v>394</v>
      </c>
      <c r="G28" s="92">
        <v>5.0</v>
      </c>
      <c r="H28" s="93">
        <v>4950.0</v>
      </c>
      <c r="I28" s="93">
        <v>0.0</v>
      </c>
      <c r="J28" s="93">
        <v>4950.0</v>
      </c>
      <c r="K28" s="93">
        <v>2.71</v>
      </c>
      <c r="L28" s="93">
        <v>4949.0</v>
      </c>
      <c r="M28" s="93">
        <v>0.0</v>
      </c>
      <c r="N28" s="93">
        <v>1.0</v>
      </c>
      <c r="O28" s="94">
        <f t="shared" si="4"/>
        <v>1</v>
      </c>
    </row>
    <row r="29">
      <c r="A29" s="89">
        <v>4.0</v>
      </c>
      <c r="B29" s="90" t="s">
        <v>398</v>
      </c>
      <c r="C29" s="90" t="s">
        <v>399</v>
      </c>
      <c r="D29" s="90" t="s">
        <v>208</v>
      </c>
      <c r="E29" s="91">
        <v>41302.0</v>
      </c>
      <c r="F29" s="90" t="s">
        <v>400</v>
      </c>
      <c r="G29" s="92">
        <v>5.0</v>
      </c>
      <c r="H29" s="93">
        <v>7989.0</v>
      </c>
      <c r="I29" s="93">
        <v>0.0</v>
      </c>
      <c r="J29" s="93">
        <v>7989.0</v>
      </c>
      <c r="K29" s="93">
        <v>4.38</v>
      </c>
      <c r="L29" s="93">
        <v>7988.0</v>
      </c>
      <c r="M29" s="93">
        <v>0.0</v>
      </c>
      <c r="N29" s="93">
        <v>1.0</v>
      </c>
      <c r="O29" s="94">
        <f t="shared" si="4"/>
        <v>1</v>
      </c>
    </row>
    <row r="30">
      <c r="A30" s="89">
        <v>5.0</v>
      </c>
      <c r="B30" s="90" t="s">
        <v>401</v>
      </c>
      <c r="C30" s="90" t="s">
        <v>402</v>
      </c>
      <c r="D30" s="90" t="s">
        <v>208</v>
      </c>
      <c r="E30" s="91">
        <v>42678.0</v>
      </c>
      <c r="F30" s="90" t="s">
        <v>400</v>
      </c>
      <c r="G30" s="92">
        <v>5.0</v>
      </c>
      <c r="H30" s="93">
        <v>20000.0</v>
      </c>
      <c r="I30" s="93">
        <v>400.0</v>
      </c>
      <c r="J30" s="93">
        <v>19600.0</v>
      </c>
      <c r="K30" s="93">
        <v>10.74</v>
      </c>
      <c r="L30" s="93">
        <v>19599.0</v>
      </c>
      <c r="M30" s="93">
        <v>0.0</v>
      </c>
      <c r="N30" s="93">
        <v>1.0</v>
      </c>
      <c r="O30" s="94">
        <f t="shared" si="4"/>
        <v>401</v>
      </c>
    </row>
    <row r="31">
      <c r="A31" s="89">
        <v>6.0</v>
      </c>
      <c r="B31" s="90" t="s">
        <v>403</v>
      </c>
      <c r="C31" s="90" t="s">
        <v>404</v>
      </c>
      <c r="D31" s="90" t="s">
        <v>208</v>
      </c>
      <c r="E31" s="91">
        <v>43033.0</v>
      </c>
      <c r="F31" s="90" t="s">
        <v>400</v>
      </c>
      <c r="G31" s="92">
        <v>5.0</v>
      </c>
      <c r="H31" s="93">
        <v>12700.0</v>
      </c>
      <c r="I31" s="93">
        <v>254.0</v>
      </c>
      <c r="J31" s="93">
        <v>12446.0</v>
      </c>
      <c r="K31" s="93">
        <v>6.82</v>
      </c>
      <c r="L31" s="93">
        <v>12445.0</v>
      </c>
      <c r="M31" s="93">
        <v>211.42</v>
      </c>
      <c r="N31" s="93">
        <v>-210.42</v>
      </c>
      <c r="O31" s="94">
        <f t="shared" si="4"/>
        <v>43.58</v>
      </c>
    </row>
    <row r="32">
      <c r="A32" s="89">
        <v>7.0</v>
      </c>
      <c r="B32" s="90" t="s">
        <v>405</v>
      </c>
      <c r="C32" s="90" t="s">
        <v>406</v>
      </c>
      <c r="D32" s="90" t="s">
        <v>208</v>
      </c>
      <c r="E32" s="91">
        <v>42751.0</v>
      </c>
      <c r="F32" s="90" t="s">
        <v>400</v>
      </c>
      <c r="G32" s="92">
        <v>5.0</v>
      </c>
      <c r="H32" s="93">
        <v>950.0</v>
      </c>
      <c r="I32" s="93">
        <v>65.75</v>
      </c>
      <c r="J32" s="93">
        <v>884.25</v>
      </c>
      <c r="K32" s="93">
        <v>0.49</v>
      </c>
      <c r="L32" s="93">
        <v>883.25</v>
      </c>
      <c r="M32" s="93">
        <v>0.0</v>
      </c>
      <c r="N32" s="93">
        <v>1.0</v>
      </c>
      <c r="O32" s="94">
        <f t="shared" si="4"/>
        <v>66.75</v>
      </c>
    </row>
    <row r="33">
      <c r="A33" s="82"/>
      <c r="B33" s="83"/>
      <c r="C33" s="84"/>
      <c r="D33" s="84"/>
      <c r="E33" s="85"/>
      <c r="F33" s="84"/>
      <c r="G33" s="86"/>
      <c r="H33" s="82"/>
      <c r="I33" s="82"/>
      <c r="J33" s="82"/>
      <c r="K33" s="82"/>
      <c r="L33" s="82"/>
      <c r="M33" s="82"/>
      <c r="N33" s="82"/>
      <c r="O33" s="87">
        <f t="shared" si="4"/>
        <v>0</v>
      </c>
    </row>
    <row r="34">
      <c r="A34" s="88" t="s">
        <v>407</v>
      </c>
      <c r="B34" s="18"/>
      <c r="C34" s="18"/>
      <c r="D34" s="4"/>
      <c r="E34" s="85"/>
      <c r="F34" s="84"/>
      <c r="G34" s="86"/>
      <c r="H34" s="82"/>
      <c r="I34" s="82"/>
      <c r="J34" s="82"/>
      <c r="K34" s="82"/>
      <c r="L34" s="82"/>
      <c r="M34" s="82"/>
      <c r="N34" s="82"/>
      <c r="O34" s="87">
        <f t="shared" si="4"/>
        <v>0</v>
      </c>
    </row>
    <row r="35">
      <c r="A35" s="89">
        <v>1.0</v>
      </c>
      <c r="B35" s="90" t="s">
        <v>408</v>
      </c>
      <c r="C35" s="90" t="s">
        <v>409</v>
      </c>
      <c r="D35" s="90" t="s">
        <v>215</v>
      </c>
      <c r="E35" s="91">
        <v>37987.0</v>
      </c>
      <c r="F35" s="90" t="s">
        <v>214</v>
      </c>
      <c r="G35" s="92">
        <v>5.0</v>
      </c>
      <c r="H35" s="93">
        <v>6400.0</v>
      </c>
      <c r="I35" s="93">
        <v>0.0</v>
      </c>
      <c r="J35" s="93">
        <v>6400.0</v>
      </c>
      <c r="K35" s="93">
        <v>3.51</v>
      </c>
      <c r="L35" s="93">
        <v>6399.0</v>
      </c>
      <c r="M35" s="93">
        <v>0.0</v>
      </c>
      <c r="N35" s="93">
        <v>1.0</v>
      </c>
      <c r="O35" s="94">
        <f t="shared" si="4"/>
        <v>1</v>
      </c>
    </row>
    <row r="36">
      <c r="A36" s="89">
        <v>2.0</v>
      </c>
      <c r="B36" s="90" t="s">
        <v>410</v>
      </c>
      <c r="C36" s="90" t="s">
        <v>411</v>
      </c>
      <c r="D36" s="90" t="s">
        <v>215</v>
      </c>
      <c r="E36" s="91">
        <v>43202.0</v>
      </c>
      <c r="F36" s="90" t="s">
        <v>214</v>
      </c>
      <c r="G36" s="92">
        <v>5.0</v>
      </c>
      <c r="H36" s="93">
        <v>1499.0</v>
      </c>
      <c r="I36" s="93">
        <v>29.98</v>
      </c>
      <c r="J36" s="93">
        <v>1469.02</v>
      </c>
      <c r="K36" s="93">
        <v>0.81</v>
      </c>
      <c r="L36" s="93">
        <v>1282.03</v>
      </c>
      <c r="M36" s="93">
        <v>171.72</v>
      </c>
      <c r="N36" s="93">
        <v>15.27</v>
      </c>
      <c r="O36" s="94">
        <f t="shared" si="4"/>
        <v>45.25</v>
      </c>
    </row>
    <row r="37">
      <c r="A37" s="89">
        <v>3.0</v>
      </c>
      <c r="B37" s="90" t="s">
        <v>410</v>
      </c>
      <c r="C37" s="90" t="s">
        <v>412</v>
      </c>
      <c r="D37" s="90" t="s">
        <v>215</v>
      </c>
      <c r="E37" s="91">
        <v>43202.0</v>
      </c>
      <c r="F37" s="90" t="s">
        <v>214</v>
      </c>
      <c r="G37" s="92">
        <v>5.0</v>
      </c>
      <c r="H37" s="93">
        <v>1499.0</v>
      </c>
      <c r="I37" s="93">
        <v>29.98</v>
      </c>
      <c r="J37" s="93">
        <v>1469.02</v>
      </c>
      <c r="K37" s="93">
        <v>0.81</v>
      </c>
      <c r="L37" s="93">
        <v>1282.03</v>
      </c>
      <c r="M37" s="93">
        <v>171.72</v>
      </c>
      <c r="N37" s="93">
        <v>15.27</v>
      </c>
      <c r="O37" s="94">
        <f t="shared" si="4"/>
        <v>45.25</v>
      </c>
    </row>
    <row r="38">
      <c r="A38" s="89">
        <v>4.0</v>
      </c>
      <c r="B38" s="90" t="s">
        <v>413</v>
      </c>
      <c r="C38" s="90" t="s">
        <v>414</v>
      </c>
      <c r="D38" s="90" t="s">
        <v>376</v>
      </c>
      <c r="E38" s="91">
        <v>33970.0</v>
      </c>
      <c r="F38" s="90" t="s">
        <v>415</v>
      </c>
      <c r="G38" s="92">
        <v>5.0</v>
      </c>
      <c r="H38" s="93">
        <v>1364.8</v>
      </c>
      <c r="I38" s="93">
        <v>0.0</v>
      </c>
      <c r="J38" s="93">
        <v>1364.8</v>
      </c>
      <c r="K38" s="93">
        <v>0.75</v>
      </c>
      <c r="L38" s="93">
        <v>1363.8</v>
      </c>
      <c r="M38" s="93">
        <v>0.0</v>
      </c>
      <c r="N38" s="93">
        <v>1.0</v>
      </c>
      <c r="O38" s="94">
        <f t="shared" si="4"/>
        <v>1</v>
      </c>
    </row>
    <row r="39">
      <c r="A39" s="89">
        <v>5.0</v>
      </c>
      <c r="B39" s="90" t="s">
        <v>416</v>
      </c>
      <c r="C39" s="90" t="s">
        <v>417</v>
      </c>
      <c r="D39" s="90" t="s">
        <v>215</v>
      </c>
      <c r="E39" s="91">
        <v>43006.0</v>
      </c>
      <c r="F39" s="90" t="s">
        <v>214</v>
      </c>
      <c r="G39" s="92">
        <v>5.0</v>
      </c>
      <c r="H39" s="93">
        <v>11000.0</v>
      </c>
      <c r="I39" s="93">
        <v>220.0</v>
      </c>
      <c r="J39" s="93">
        <v>10780.0</v>
      </c>
      <c r="K39" s="93">
        <v>5.91</v>
      </c>
      <c r="L39" s="93">
        <v>10779.0</v>
      </c>
      <c r="M39" s="93">
        <v>0.0</v>
      </c>
      <c r="N39" s="93">
        <v>1.0</v>
      </c>
      <c r="O39" s="94">
        <f t="shared" si="4"/>
        <v>221</v>
      </c>
    </row>
    <row r="40">
      <c r="A40" s="89">
        <v>6.0</v>
      </c>
      <c r="B40" s="90" t="s">
        <v>418</v>
      </c>
      <c r="C40" s="90" t="s">
        <v>419</v>
      </c>
      <c r="D40" s="90" t="s">
        <v>215</v>
      </c>
      <c r="E40" s="91">
        <v>42228.0</v>
      </c>
      <c r="F40" s="90" t="s">
        <v>214</v>
      </c>
      <c r="G40" s="92">
        <v>5.0</v>
      </c>
      <c r="H40" s="93">
        <v>1800.0</v>
      </c>
      <c r="I40" s="93">
        <v>0.0</v>
      </c>
      <c r="J40" s="93">
        <v>1800.0</v>
      </c>
      <c r="K40" s="93">
        <v>0.99</v>
      </c>
      <c r="L40" s="93">
        <v>1799.0</v>
      </c>
      <c r="M40" s="93">
        <v>0.0</v>
      </c>
      <c r="N40" s="93">
        <v>1.0</v>
      </c>
      <c r="O40" s="94">
        <f t="shared" si="4"/>
        <v>1</v>
      </c>
    </row>
    <row r="41">
      <c r="A41" s="82"/>
      <c r="B41" s="83"/>
      <c r="C41" s="84"/>
      <c r="D41" s="84"/>
      <c r="E41" s="85"/>
      <c r="F41" s="84"/>
      <c r="G41" s="86"/>
      <c r="H41" s="82"/>
      <c r="I41" s="82"/>
      <c r="J41" s="82"/>
      <c r="K41" s="82"/>
      <c r="L41" s="82"/>
      <c r="M41" s="82"/>
      <c r="N41" s="82"/>
      <c r="O41" s="87"/>
    </row>
    <row r="42">
      <c r="A42" s="88" t="s">
        <v>420</v>
      </c>
      <c r="B42" s="18"/>
      <c r="C42" s="18"/>
      <c r="D42" s="4"/>
      <c r="E42" s="85"/>
      <c r="F42" s="84"/>
      <c r="G42" s="86"/>
      <c r="H42" s="82"/>
      <c r="I42" s="82"/>
      <c r="J42" s="82"/>
      <c r="K42" s="82"/>
      <c r="L42" s="82"/>
      <c r="M42" s="82"/>
      <c r="N42" s="82"/>
      <c r="O42" s="87"/>
    </row>
    <row r="43">
      <c r="A43" s="89">
        <v>2.0</v>
      </c>
      <c r="B43" s="90" t="s">
        <v>410</v>
      </c>
      <c r="C43" s="90" t="s">
        <v>421</v>
      </c>
      <c r="D43" s="90" t="s">
        <v>224</v>
      </c>
      <c r="E43" s="91">
        <v>38290.0</v>
      </c>
      <c r="F43" s="90" t="s">
        <v>422</v>
      </c>
      <c r="G43" s="92">
        <v>5.0</v>
      </c>
      <c r="H43" s="93">
        <v>461.25</v>
      </c>
      <c r="I43" s="93">
        <v>0.0</v>
      </c>
      <c r="J43" s="93">
        <v>461.25</v>
      </c>
      <c r="K43" s="93">
        <v>0.25</v>
      </c>
      <c r="L43" s="93">
        <v>460.25</v>
      </c>
      <c r="M43" s="93">
        <v>0.0</v>
      </c>
      <c r="N43" s="93">
        <v>1.0</v>
      </c>
      <c r="O43" s="94">
        <f t="shared" ref="O43:O47" si="5">I43+N43</f>
        <v>1</v>
      </c>
    </row>
    <row r="44">
      <c r="A44" s="89">
        <v>3.0</v>
      </c>
      <c r="B44" s="90" t="s">
        <v>410</v>
      </c>
      <c r="C44" s="90" t="s">
        <v>423</v>
      </c>
      <c r="D44" s="90" t="s">
        <v>224</v>
      </c>
      <c r="E44" s="91">
        <v>38290.0</v>
      </c>
      <c r="F44" s="90" t="s">
        <v>422</v>
      </c>
      <c r="G44" s="92">
        <v>5.0</v>
      </c>
      <c r="H44" s="93">
        <v>461.25</v>
      </c>
      <c r="I44" s="93">
        <v>0.0</v>
      </c>
      <c r="J44" s="93">
        <v>461.25</v>
      </c>
      <c r="K44" s="93">
        <v>0.25</v>
      </c>
      <c r="L44" s="93">
        <v>460.25</v>
      </c>
      <c r="M44" s="93">
        <v>0.0</v>
      </c>
      <c r="N44" s="93">
        <v>1.0</v>
      </c>
      <c r="O44" s="94">
        <f t="shared" si="5"/>
        <v>1</v>
      </c>
    </row>
    <row r="45">
      <c r="A45" s="89">
        <v>4.0</v>
      </c>
      <c r="B45" s="90" t="s">
        <v>358</v>
      </c>
      <c r="C45" s="90" t="s">
        <v>424</v>
      </c>
      <c r="D45" s="90" t="s">
        <v>224</v>
      </c>
      <c r="E45" s="91">
        <v>38903.0</v>
      </c>
      <c r="F45" s="90" t="s">
        <v>422</v>
      </c>
      <c r="G45" s="92">
        <v>5.0</v>
      </c>
      <c r="H45" s="93">
        <v>1040.0</v>
      </c>
      <c r="I45" s="93">
        <v>0.0</v>
      </c>
      <c r="J45" s="93">
        <v>1040.0</v>
      </c>
      <c r="K45" s="93">
        <v>0.57</v>
      </c>
      <c r="L45" s="93">
        <v>1039.0</v>
      </c>
      <c r="M45" s="93">
        <v>0.0</v>
      </c>
      <c r="N45" s="93">
        <v>1.0</v>
      </c>
      <c r="O45" s="94">
        <f t="shared" si="5"/>
        <v>1</v>
      </c>
    </row>
    <row r="46">
      <c r="A46" s="89">
        <v>5.0</v>
      </c>
      <c r="B46" s="90" t="s">
        <v>425</v>
      </c>
      <c r="C46" s="90" t="s">
        <v>426</v>
      </c>
      <c r="D46" s="90" t="s">
        <v>224</v>
      </c>
      <c r="E46" s="91">
        <v>43539.0</v>
      </c>
      <c r="F46" s="90" t="s">
        <v>422</v>
      </c>
      <c r="G46" s="92">
        <v>5.0</v>
      </c>
      <c r="H46" s="93">
        <v>13790.0</v>
      </c>
      <c r="I46" s="93">
        <v>275.8</v>
      </c>
      <c r="J46" s="93">
        <v>13514.2</v>
      </c>
      <c r="K46" s="93">
        <v>7.41</v>
      </c>
      <c r="L46" s="93">
        <v>11620.4</v>
      </c>
      <c r="M46" s="93">
        <v>1570.92</v>
      </c>
      <c r="N46" s="93">
        <v>322.88</v>
      </c>
      <c r="O46" s="94">
        <f t="shared" si="5"/>
        <v>598.68</v>
      </c>
    </row>
    <row r="47">
      <c r="A47" s="89">
        <v>7.0</v>
      </c>
      <c r="B47" s="90" t="s">
        <v>425</v>
      </c>
      <c r="C47" s="90" t="s">
        <v>427</v>
      </c>
      <c r="D47" s="90" t="s">
        <v>224</v>
      </c>
      <c r="E47" s="91">
        <v>43339.0</v>
      </c>
      <c r="F47" s="90" t="s">
        <v>422</v>
      </c>
      <c r="G47" s="92">
        <v>5.0</v>
      </c>
      <c r="H47" s="93">
        <v>13790.0</v>
      </c>
      <c r="I47" s="93">
        <v>275.8</v>
      </c>
      <c r="J47" s="93">
        <v>13514.2</v>
      </c>
      <c r="K47" s="93">
        <v>7.41</v>
      </c>
      <c r="L47" s="93">
        <v>12339.48</v>
      </c>
      <c r="M47" s="93">
        <v>1173.72</v>
      </c>
      <c r="N47" s="93">
        <v>1.0</v>
      </c>
      <c r="O47" s="94">
        <f t="shared" si="5"/>
        <v>276.8</v>
      </c>
    </row>
    <row r="48">
      <c r="A48" s="82"/>
      <c r="B48" s="83"/>
      <c r="C48" s="84"/>
      <c r="D48" s="84"/>
      <c r="E48" s="85"/>
      <c r="F48" s="84"/>
      <c r="G48" s="86"/>
      <c r="H48" s="82"/>
      <c r="I48" s="82"/>
      <c r="J48" s="82"/>
      <c r="K48" s="82"/>
      <c r="L48" s="82"/>
      <c r="M48" s="82"/>
      <c r="N48" s="82"/>
      <c r="O48" s="87"/>
    </row>
    <row r="49">
      <c r="A49" s="88" t="s">
        <v>428</v>
      </c>
      <c r="B49" s="18"/>
      <c r="C49" s="18"/>
      <c r="D49" s="4"/>
      <c r="E49" s="85"/>
      <c r="F49" s="84"/>
      <c r="G49" s="86"/>
      <c r="H49" s="82"/>
      <c r="I49" s="82"/>
      <c r="J49" s="82"/>
      <c r="K49" s="82"/>
      <c r="L49" s="82"/>
      <c r="M49" s="82"/>
      <c r="N49" s="82"/>
      <c r="O49" s="87"/>
    </row>
    <row r="50">
      <c r="A50" s="89">
        <v>1.0</v>
      </c>
      <c r="B50" s="90" t="s">
        <v>429</v>
      </c>
      <c r="C50" s="90" t="s">
        <v>430</v>
      </c>
      <c r="D50" s="90" t="s">
        <v>226</v>
      </c>
      <c r="E50" s="91">
        <v>37987.0</v>
      </c>
      <c r="F50" s="90" t="s">
        <v>387</v>
      </c>
      <c r="G50" s="92">
        <v>5.0</v>
      </c>
      <c r="H50" s="93">
        <v>69000.0</v>
      </c>
      <c r="I50" s="93">
        <v>0.0</v>
      </c>
      <c r="J50" s="93">
        <v>69000.0</v>
      </c>
      <c r="K50" s="93">
        <v>37.81</v>
      </c>
      <c r="L50" s="93">
        <v>68999.0</v>
      </c>
      <c r="M50" s="93">
        <v>0.0</v>
      </c>
      <c r="N50" s="93">
        <v>1.0</v>
      </c>
      <c r="O50" s="94">
        <f t="shared" ref="O50:O52" si="6">I50+N50</f>
        <v>1</v>
      </c>
    </row>
    <row r="51">
      <c r="A51" s="89">
        <v>2.0</v>
      </c>
      <c r="B51" s="90" t="s">
        <v>408</v>
      </c>
      <c r="C51" s="90" t="s">
        <v>431</v>
      </c>
      <c r="D51" s="90" t="s">
        <v>226</v>
      </c>
      <c r="E51" s="91">
        <v>37987.0</v>
      </c>
      <c r="F51" s="90" t="s">
        <v>387</v>
      </c>
      <c r="G51" s="92">
        <v>5.0</v>
      </c>
      <c r="H51" s="93">
        <v>6400.0</v>
      </c>
      <c r="I51" s="93">
        <v>0.0</v>
      </c>
      <c r="J51" s="93">
        <v>6400.0</v>
      </c>
      <c r="K51" s="93">
        <v>3.51</v>
      </c>
      <c r="L51" s="93">
        <v>6399.0</v>
      </c>
      <c r="M51" s="93">
        <v>0.0</v>
      </c>
      <c r="N51" s="93">
        <v>1.0</v>
      </c>
      <c r="O51" s="94">
        <f t="shared" si="6"/>
        <v>1</v>
      </c>
    </row>
    <row r="52">
      <c r="A52" s="89">
        <v>3.0</v>
      </c>
      <c r="B52" s="90" t="s">
        <v>432</v>
      </c>
      <c r="C52" s="90" t="s">
        <v>433</v>
      </c>
      <c r="D52" s="90" t="s">
        <v>226</v>
      </c>
      <c r="E52" s="91">
        <v>39609.0</v>
      </c>
      <c r="F52" s="90" t="s">
        <v>387</v>
      </c>
      <c r="G52" s="92">
        <v>5.0</v>
      </c>
      <c r="H52" s="93">
        <v>9636.0</v>
      </c>
      <c r="I52" s="93">
        <v>0.0</v>
      </c>
      <c r="J52" s="93">
        <v>9636.0</v>
      </c>
      <c r="K52" s="93">
        <v>5.28</v>
      </c>
      <c r="L52" s="93">
        <v>9635.0</v>
      </c>
      <c r="M52" s="93">
        <v>0.0</v>
      </c>
      <c r="N52" s="93">
        <v>1.0</v>
      </c>
      <c r="O52" s="94">
        <f t="shared" si="6"/>
        <v>1</v>
      </c>
    </row>
    <row r="53">
      <c r="A53" s="82"/>
      <c r="B53" s="83"/>
      <c r="C53" s="84"/>
      <c r="D53" s="84"/>
      <c r="E53" s="85"/>
      <c r="F53" s="84"/>
      <c r="G53" s="86"/>
      <c r="H53" s="82"/>
      <c r="I53" s="82"/>
      <c r="J53" s="82"/>
      <c r="K53" s="82"/>
      <c r="L53" s="82"/>
      <c r="M53" s="82"/>
      <c r="N53" s="82"/>
      <c r="O53" s="87"/>
    </row>
    <row r="54">
      <c r="A54" s="88" t="s">
        <v>434</v>
      </c>
      <c r="B54" s="18"/>
      <c r="C54" s="18"/>
      <c r="D54" s="4"/>
      <c r="E54" s="85"/>
      <c r="F54" s="84"/>
      <c r="G54" s="86"/>
      <c r="H54" s="82"/>
      <c r="I54" s="82"/>
      <c r="J54" s="82"/>
      <c r="K54" s="82"/>
      <c r="L54" s="82"/>
      <c r="M54" s="82"/>
      <c r="N54" s="82"/>
      <c r="O54" s="87"/>
    </row>
    <row r="55">
      <c r="A55" s="89">
        <v>1.0</v>
      </c>
      <c r="B55" s="90" t="s">
        <v>435</v>
      </c>
      <c r="C55" s="90" t="s">
        <v>436</v>
      </c>
      <c r="D55" s="90" t="s">
        <v>234</v>
      </c>
      <c r="E55" s="91">
        <v>42753.0</v>
      </c>
      <c r="F55" s="90" t="s">
        <v>437</v>
      </c>
      <c r="G55" s="92">
        <v>5.0</v>
      </c>
      <c r="H55" s="93">
        <v>700.0</v>
      </c>
      <c r="I55" s="93">
        <v>14.0</v>
      </c>
      <c r="J55" s="93">
        <v>686.0</v>
      </c>
      <c r="K55" s="93">
        <v>0.38</v>
      </c>
      <c r="L55" s="93">
        <v>685.0</v>
      </c>
      <c r="M55" s="93">
        <v>0.0</v>
      </c>
      <c r="N55" s="93">
        <v>1.0</v>
      </c>
      <c r="O55" s="94">
        <f t="shared" ref="O55:O58" si="7">I55+N55</f>
        <v>15</v>
      </c>
    </row>
    <row r="56">
      <c r="A56" s="89">
        <v>2.0</v>
      </c>
      <c r="B56" s="90" t="s">
        <v>410</v>
      </c>
      <c r="C56" s="90" t="s">
        <v>438</v>
      </c>
      <c r="D56" s="90" t="s">
        <v>234</v>
      </c>
      <c r="E56" s="91">
        <v>43202.0</v>
      </c>
      <c r="F56" s="90" t="s">
        <v>437</v>
      </c>
      <c r="G56" s="92">
        <v>5.0</v>
      </c>
      <c r="H56" s="93">
        <v>1499.0</v>
      </c>
      <c r="I56" s="93">
        <v>29.98</v>
      </c>
      <c r="J56" s="93">
        <v>1469.02</v>
      </c>
      <c r="K56" s="93">
        <v>0.81</v>
      </c>
      <c r="L56" s="93">
        <v>1282.03</v>
      </c>
      <c r="M56" s="93">
        <v>171.72</v>
      </c>
      <c r="N56" s="93">
        <v>15.27</v>
      </c>
      <c r="O56" s="94">
        <f t="shared" si="7"/>
        <v>45.25</v>
      </c>
    </row>
    <row r="57">
      <c r="A57" s="89">
        <v>3.0</v>
      </c>
      <c r="B57" s="90" t="s">
        <v>425</v>
      </c>
      <c r="C57" s="90" t="s">
        <v>439</v>
      </c>
      <c r="D57" s="90" t="s">
        <v>234</v>
      </c>
      <c r="E57" s="91">
        <v>43725.0</v>
      </c>
      <c r="F57" s="90" t="s">
        <v>437</v>
      </c>
      <c r="G57" s="92">
        <v>5.0</v>
      </c>
      <c r="H57" s="93">
        <v>13120.0</v>
      </c>
      <c r="I57" s="93">
        <v>262.4</v>
      </c>
      <c r="J57" s="93">
        <v>12857.6</v>
      </c>
      <c r="K57" s="93">
        <v>7.05</v>
      </c>
      <c r="L57" s="93">
        <v>11055.82</v>
      </c>
      <c r="M57" s="93">
        <v>1494.6</v>
      </c>
      <c r="N57" s="93">
        <v>307.18</v>
      </c>
      <c r="O57" s="94">
        <f t="shared" si="7"/>
        <v>569.58</v>
      </c>
    </row>
    <row r="58">
      <c r="A58" s="89">
        <v>4.0</v>
      </c>
      <c r="B58" s="90" t="s">
        <v>440</v>
      </c>
      <c r="C58" s="90" t="s">
        <v>441</v>
      </c>
      <c r="D58" s="90" t="s">
        <v>234</v>
      </c>
      <c r="E58" s="91">
        <v>43992.0</v>
      </c>
      <c r="F58" s="90" t="s">
        <v>437</v>
      </c>
      <c r="G58" s="92">
        <v>5.0</v>
      </c>
      <c r="H58" s="93">
        <v>4500.0</v>
      </c>
      <c r="I58" s="93">
        <v>90.0</v>
      </c>
      <c r="J58" s="93">
        <v>4410.0</v>
      </c>
      <c r="K58" s="93">
        <v>2.42</v>
      </c>
      <c r="L58" s="93">
        <v>3278.61</v>
      </c>
      <c r="M58" s="93">
        <v>513.04</v>
      </c>
      <c r="N58" s="93">
        <v>618.35</v>
      </c>
      <c r="O58" s="94">
        <f t="shared" si="7"/>
        <v>708.35</v>
      </c>
    </row>
    <row r="59">
      <c r="A59" s="82"/>
      <c r="B59" s="83"/>
      <c r="C59" s="84"/>
      <c r="D59" s="84"/>
      <c r="E59" s="85"/>
      <c r="F59" s="84"/>
      <c r="G59" s="86"/>
      <c r="H59" s="82"/>
      <c r="I59" s="82"/>
      <c r="J59" s="82"/>
      <c r="K59" s="82"/>
      <c r="L59" s="82"/>
      <c r="M59" s="82"/>
      <c r="N59" s="82"/>
      <c r="O59" s="87"/>
    </row>
    <row r="60">
      <c r="A60" s="82"/>
      <c r="B60" s="83"/>
      <c r="C60" s="84"/>
      <c r="D60" s="84"/>
      <c r="E60" s="85"/>
      <c r="F60" s="84"/>
      <c r="G60" s="86"/>
      <c r="H60" s="82"/>
      <c r="I60" s="82"/>
      <c r="J60" s="82"/>
      <c r="K60" s="82"/>
      <c r="L60" s="82"/>
      <c r="M60" s="82"/>
      <c r="N60" s="82"/>
      <c r="O60" s="87"/>
    </row>
    <row r="61">
      <c r="A61" s="88" t="s">
        <v>243</v>
      </c>
      <c r="B61" s="18"/>
      <c r="C61" s="18"/>
      <c r="D61" s="4"/>
      <c r="E61" s="85"/>
      <c r="F61" s="84"/>
      <c r="G61" s="86"/>
      <c r="H61" s="82"/>
      <c r="I61" s="82"/>
      <c r="J61" s="82"/>
      <c r="K61" s="82"/>
      <c r="L61" s="82"/>
      <c r="M61" s="82"/>
      <c r="N61" s="82"/>
      <c r="O61" s="87"/>
    </row>
    <row r="62">
      <c r="A62" s="89">
        <v>1.0</v>
      </c>
      <c r="B62" s="90" t="s">
        <v>425</v>
      </c>
      <c r="C62" s="90" t="s">
        <v>442</v>
      </c>
      <c r="D62" s="90" t="s">
        <v>443</v>
      </c>
      <c r="E62" s="91">
        <v>42713.0</v>
      </c>
      <c r="F62" s="90" t="s">
        <v>444</v>
      </c>
      <c r="G62" s="92">
        <v>5.0</v>
      </c>
      <c r="H62" s="93">
        <v>12390.0</v>
      </c>
      <c r="I62" s="93">
        <v>247.8</v>
      </c>
      <c r="J62" s="93">
        <v>12142.2</v>
      </c>
      <c r="K62" s="93">
        <v>6.65</v>
      </c>
      <c r="L62" s="93">
        <v>12141.2</v>
      </c>
      <c r="M62" s="93">
        <v>0.0</v>
      </c>
      <c r="N62" s="93">
        <v>1.0</v>
      </c>
      <c r="O62" s="94">
        <f>I62+N62</f>
        <v>248.8</v>
      </c>
    </row>
    <row r="63">
      <c r="A63" s="82"/>
      <c r="B63" s="83"/>
      <c r="C63" s="84"/>
      <c r="D63" s="84"/>
      <c r="E63" s="85"/>
      <c r="F63" s="84"/>
      <c r="G63" s="86"/>
      <c r="H63" s="82"/>
      <c r="I63" s="82"/>
      <c r="J63" s="82"/>
      <c r="K63" s="82"/>
      <c r="L63" s="82"/>
      <c r="M63" s="82"/>
      <c r="N63" s="82"/>
      <c r="O63" s="87"/>
    </row>
    <row r="64">
      <c r="A64" s="82"/>
      <c r="B64" s="83"/>
      <c r="C64" s="84"/>
      <c r="D64" s="84"/>
      <c r="E64" s="85"/>
      <c r="F64" s="84"/>
      <c r="G64" s="86"/>
      <c r="H64" s="82"/>
      <c r="I64" s="82"/>
      <c r="J64" s="82"/>
      <c r="K64" s="82"/>
      <c r="L64" s="82"/>
      <c r="M64" s="82"/>
      <c r="N64" s="82"/>
      <c r="O64" s="87"/>
    </row>
    <row r="65">
      <c r="A65" s="95" t="s">
        <v>319</v>
      </c>
      <c r="B65" s="18"/>
      <c r="C65" s="18"/>
      <c r="D65" s="18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7"/>
    </row>
    <row r="66">
      <c r="A66" s="88" t="s">
        <v>445</v>
      </c>
      <c r="B66" s="18"/>
      <c r="C66" s="18"/>
      <c r="D66" s="4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9"/>
    </row>
    <row r="67">
      <c r="A67" s="89">
        <v>1.0</v>
      </c>
      <c r="B67" s="90" t="s">
        <v>425</v>
      </c>
      <c r="C67" s="90" t="s">
        <v>446</v>
      </c>
      <c r="D67" s="90" t="s">
        <v>445</v>
      </c>
      <c r="E67" s="91">
        <v>43671.0</v>
      </c>
      <c r="F67" s="90" t="s">
        <v>447</v>
      </c>
      <c r="G67" s="92">
        <v>5.0</v>
      </c>
      <c r="H67" s="93">
        <v>13120.0</v>
      </c>
      <c r="I67" s="93">
        <v>262.4</v>
      </c>
      <c r="J67" s="93">
        <v>12857.6</v>
      </c>
      <c r="K67" s="93">
        <v>7.05</v>
      </c>
      <c r="L67" s="93">
        <v>11055.82</v>
      </c>
      <c r="M67" s="93">
        <v>1494.6</v>
      </c>
      <c r="N67" s="93">
        <v>307.18</v>
      </c>
      <c r="O67" s="94">
        <f t="shared" ref="O67:O98" si="8">I67+N67</f>
        <v>569.58</v>
      </c>
    </row>
    <row r="68">
      <c r="A68" s="89">
        <v>2.0</v>
      </c>
      <c r="B68" s="90" t="s">
        <v>448</v>
      </c>
      <c r="C68" s="90" t="s">
        <v>449</v>
      </c>
      <c r="D68" s="90" t="s">
        <v>445</v>
      </c>
      <c r="E68" s="91">
        <v>38420.0</v>
      </c>
      <c r="F68" s="90" t="s">
        <v>450</v>
      </c>
      <c r="G68" s="92">
        <v>5.0</v>
      </c>
      <c r="H68" s="93">
        <v>750.0</v>
      </c>
      <c r="I68" s="93">
        <v>0.0</v>
      </c>
      <c r="J68" s="93">
        <v>750.0</v>
      </c>
      <c r="K68" s="93">
        <v>0.41</v>
      </c>
      <c r="L68" s="93">
        <v>749.0</v>
      </c>
      <c r="M68" s="93">
        <v>0.0</v>
      </c>
      <c r="N68" s="93">
        <v>1.0</v>
      </c>
      <c r="O68" s="94">
        <f t="shared" si="8"/>
        <v>1</v>
      </c>
    </row>
    <row r="69">
      <c r="A69" s="89">
        <v>3.0</v>
      </c>
      <c r="B69" s="90" t="s">
        <v>451</v>
      </c>
      <c r="C69" s="90" t="s">
        <v>452</v>
      </c>
      <c r="D69" s="90" t="s">
        <v>445</v>
      </c>
      <c r="E69" s="91">
        <v>42824.0</v>
      </c>
      <c r="F69" s="90" t="s">
        <v>453</v>
      </c>
      <c r="G69" s="92">
        <v>5.0</v>
      </c>
      <c r="H69" s="93">
        <v>1200.0</v>
      </c>
      <c r="I69" s="93">
        <v>24.0</v>
      </c>
      <c r="J69" s="93">
        <v>1176.0</v>
      </c>
      <c r="K69" s="93">
        <v>0.64</v>
      </c>
      <c r="L69" s="93">
        <v>1175.0</v>
      </c>
      <c r="M69" s="93">
        <v>0.0</v>
      </c>
      <c r="N69" s="93">
        <v>1.0</v>
      </c>
      <c r="O69" s="94">
        <f t="shared" si="8"/>
        <v>25</v>
      </c>
    </row>
    <row r="70">
      <c r="A70" s="89">
        <v>4.0</v>
      </c>
      <c r="B70" s="90" t="s">
        <v>370</v>
      </c>
      <c r="C70" s="90" t="s">
        <v>454</v>
      </c>
      <c r="D70" s="90" t="s">
        <v>445</v>
      </c>
      <c r="E70" s="91">
        <v>38105.0</v>
      </c>
      <c r="F70" s="90" t="s">
        <v>455</v>
      </c>
      <c r="G70" s="92">
        <v>5.0</v>
      </c>
      <c r="H70" s="93">
        <v>1490.0</v>
      </c>
      <c r="I70" s="93">
        <v>0.0</v>
      </c>
      <c r="J70" s="93">
        <v>1490.0</v>
      </c>
      <c r="K70" s="93">
        <v>0.82</v>
      </c>
      <c r="L70" s="93">
        <v>1489.0</v>
      </c>
      <c r="M70" s="93">
        <v>0.0</v>
      </c>
      <c r="N70" s="93">
        <v>1.0</v>
      </c>
      <c r="O70" s="94">
        <f t="shared" si="8"/>
        <v>1</v>
      </c>
    </row>
    <row r="71">
      <c r="A71" s="89">
        <v>5.0</v>
      </c>
      <c r="B71" s="90" t="s">
        <v>395</v>
      </c>
      <c r="C71" s="90" t="s">
        <v>456</v>
      </c>
      <c r="D71" s="90" t="s">
        <v>445</v>
      </c>
      <c r="E71" s="91">
        <v>39262.0</v>
      </c>
      <c r="F71" s="90" t="s">
        <v>447</v>
      </c>
      <c r="G71" s="92">
        <v>5.0</v>
      </c>
      <c r="H71" s="93">
        <v>3320.83</v>
      </c>
      <c r="I71" s="93">
        <v>0.0</v>
      </c>
      <c r="J71" s="93">
        <v>3320.83</v>
      </c>
      <c r="K71" s="93">
        <v>1.82</v>
      </c>
      <c r="L71" s="93">
        <v>3319.83</v>
      </c>
      <c r="M71" s="93">
        <v>0.0</v>
      </c>
      <c r="N71" s="93">
        <v>1.0</v>
      </c>
      <c r="O71" s="94">
        <f t="shared" si="8"/>
        <v>1</v>
      </c>
    </row>
    <row r="72">
      <c r="A72" s="89">
        <v>6.0</v>
      </c>
      <c r="B72" s="90" t="s">
        <v>457</v>
      </c>
      <c r="C72" s="90" t="s">
        <v>458</v>
      </c>
      <c r="D72" s="90" t="s">
        <v>445</v>
      </c>
      <c r="E72" s="91">
        <v>40188.0</v>
      </c>
      <c r="F72" s="90" t="s">
        <v>447</v>
      </c>
      <c r="G72" s="92">
        <v>5.0</v>
      </c>
      <c r="H72" s="93">
        <v>59000.0</v>
      </c>
      <c r="I72" s="93">
        <v>0.0</v>
      </c>
      <c r="J72" s="93">
        <v>59000.0</v>
      </c>
      <c r="K72" s="93">
        <v>32.33</v>
      </c>
      <c r="L72" s="93">
        <v>58999.0</v>
      </c>
      <c r="M72" s="93">
        <v>0.0</v>
      </c>
      <c r="N72" s="93">
        <v>1.0</v>
      </c>
      <c r="O72" s="94">
        <f t="shared" si="8"/>
        <v>1</v>
      </c>
    </row>
    <row r="73">
      <c r="A73" s="89">
        <v>7.0</v>
      </c>
      <c r="B73" s="90" t="s">
        <v>366</v>
      </c>
      <c r="C73" s="90" t="s">
        <v>459</v>
      </c>
      <c r="D73" s="90" t="s">
        <v>445</v>
      </c>
      <c r="E73" s="91">
        <v>42626.0</v>
      </c>
      <c r="F73" s="90" t="s">
        <v>447</v>
      </c>
      <c r="G73" s="92">
        <v>5.0</v>
      </c>
      <c r="H73" s="93">
        <v>4990.0</v>
      </c>
      <c r="I73" s="93">
        <v>99.8</v>
      </c>
      <c r="J73" s="93">
        <v>4890.2</v>
      </c>
      <c r="K73" s="93">
        <v>2.68</v>
      </c>
      <c r="L73" s="93">
        <v>4889.2</v>
      </c>
      <c r="M73" s="93">
        <v>0.0</v>
      </c>
      <c r="N73" s="93">
        <v>1.0</v>
      </c>
      <c r="O73" s="94">
        <f t="shared" si="8"/>
        <v>100.8</v>
      </c>
    </row>
    <row r="74">
      <c r="A74" s="89">
        <v>8.0</v>
      </c>
      <c r="B74" s="90" t="s">
        <v>413</v>
      </c>
      <c r="C74" s="90" t="s">
        <v>460</v>
      </c>
      <c r="D74" s="90" t="s">
        <v>445</v>
      </c>
      <c r="E74" s="91">
        <v>29587.0</v>
      </c>
      <c r="F74" s="90" t="s">
        <v>447</v>
      </c>
      <c r="G74" s="92">
        <v>5.0</v>
      </c>
      <c r="H74" s="93">
        <v>261.0</v>
      </c>
      <c r="I74" s="93">
        <v>0.0</v>
      </c>
      <c r="J74" s="93">
        <v>261.0</v>
      </c>
      <c r="K74" s="93">
        <v>0.14</v>
      </c>
      <c r="L74" s="93">
        <v>260.0</v>
      </c>
      <c r="M74" s="93">
        <v>0.0</v>
      </c>
      <c r="N74" s="93">
        <v>1.0</v>
      </c>
      <c r="O74" s="94">
        <f t="shared" si="8"/>
        <v>1</v>
      </c>
    </row>
    <row r="75">
      <c r="A75" s="89">
        <v>9.0</v>
      </c>
      <c r="B75" s="90" t="s">
        <v>448</v>
      </c>
      <c r="C75" s="90" t="s">
        <v>461</v>
      </c>
      <c r="D75" s="90" t="s">
        <v>445</v>
      </c>
      <c r="E75" s="91">
        <v>37978.0</v>
      </c>
      <c r="F75" s="90" t="s">
        <v>447</v>
      </c>
      <c r="G75" s="92">
        <v>5.0</v>
      </c>
      <c r="H75" s="93">
        <v>650.0</v>
      </c>
      <c r="I75" s="93">
        <v>0.0</v>
      </c>
      <c r="J75" s="93">
        <v>650.0</v>
      </c>
      <c r="K75" s="93">
        <v>0.36</v>
      </c>
      <c r="L75" s="93">
        <v>649.0</v>
      </c>
      <c r="M75" s="93">
        <v>0.0</v>
      </c>
      <c r="N75" s="93">
        <v>1.0</v>
      </c>
      <c r="O75" s="94">
        <f t="shared" si="8"/>
        <v>1</v>
      </c>
    </row>
    <row r="76">
      <c r="A76" s="89">
        <v>10.0</v>
      </c>
      <c r="B76" s="90" t="s">
        <v>395</v>
      </c>
      <c r="C76" s="90" t="s">
        <v>462</v>
      </c>
      <c r="D76" s="90" t="s">
        <v>445</v>
      </c>
      <c r="E76" s="91">
        <v>39262.0</v>
      </c>
      <c r="F76" s="90" t="s">
        <v>447</v>
      </c>
      <c r="G76" s="92">
        <v>5.0</v>
      </c>
      <c r="H76" s="93">
        <v>3320.83</v>
      </c>
      <c r="I76" s="93">
        <v>0.0</v>
      </c>
      <c r="J76" s="93">
        <v>3320.83</v>
      </c>
      <c r="K76" s="93">
        <v>1.82</v>
      </c>
      <c r="L76" s="93">
        <v>3319.83</v>
      </c>
      <c r="M76" s="93">
        <v>0.0</v>
      </c>
      <c r="N76" s="93">
        <v>1.0</v>
      </c>
      <c r="O76" s="94">
        <f t="shared" si="8"/>
        <v>1</v>
      </c>
    </row>
    <row r="77">
      <c r="A77" s="89">
        <v>11.0</v>
      </c>
      <c r="B77" s="90" t="s">
        <v>429</v>
      </c>
      <c r="C77" s="90" t="s">
        <v>463</v>
      </c>
      <c r="D77" s="90" t="s">
        <v>445</v>
      </c>
      <c r="E77" s="91">
        <v>40306.0</v>
      </c>
      <c r="F77" s="90" t="s">
        <v>447</v>
      </c>
      <c r="G77" s="92">
        <v>5.0</v>
      </c>
      <c r="H77" s="93">
        <v>34827.0</v>
      </c>
      <c r="I77" s="93">
        <v>0.0</v>
      </c>
      <c r="J77" s="93">
        <v>34827.0</v>
      </c>
      <c r="K77" s="93">
        <v>19.08</v>
      </c>
      <c r="L77" s="93">
        <v>34826.0</v>
      </c>
      <c r="M77" s="93">
        <v>0.0</v>
      </c>
      <c r="N77" s="93">
        <v>1.0</v>
      </c>
      <c r="O77" s="94">
        <f t="shared" si="8"/>
        <v>1</v>
      </c>
    </row>
    <row r="78">
      <c r="A78" s="89">
        <v>12.0</v>
      </c>
      <c r="B78" s="90" t="s">
        <v>457</v>
      </c>
      <c r="C78" s="90" t="s">
        <v>464</v>
      </c>
      <c r="D78" s="90" t="s">
        <v>445</v>
      </c>
      <c r="E78" s="91">
        <v>40188.0</v>
      </c>
      <c r="F78" s="90" t="s">
        <v>447</v>
      </c>
      <c r="G78" s="92">
        <v>5.0</v>
      </c>
      <c r="H78" s="93">
        <v>59000.0</v>
      </c>
      <c r="I78" s="93">
        <v>0.0</v>
      </c>
      <c r="J78" s="93">
        <v>59000.0</v>
      </c>
      <c r="K78" s="93">
        <v>32.33</v>
      </c>
      <c r="L78" s="93">
        <v>58999.0</v>
      </c>
      <c r="M78" s="93">
        <v>0.0</v>
      </c>
      <c r="N78" s="93">
        <v>1.0</v>
      </c>
      <c r="O78" s="94">
        <f t="shared" si="8"/>
        <v>1</v>
      </c>
    </row>
    <row r="79">
      <c r="A79" s="89">
        <v>13.0</v>
      </c>
      <c r="B79" s="90" t="s">
        <v>250</v>
      </c>
      <c r="C79" s="90" t="s">
        <v>465</v>
      </c>
      <c r="D79" s="90" t="s">
        <v>445</v>
      </c>
      <c r="E79" s="91">
        <v>41136.0</v>
      </c>
      <c r="F79" s="90" t="s">
        <v>447</v>
      </c>
      <c r="G79" s="92">
        <v>5.0</v>
      </c>
      <c r="H79" s="93">
        <v>27500.0</v>
      </c>
      <c r="I79" s="93">
        <v>0.0</v>
      </c>
      <c r="J79" s="93">
        <v>27500.0</v>
      </c>
      <c r="K79" s="93">
        <v>15.07</v>
      </c>
      <c r="L79" s="93">
        <v>27499.0</v>
      </c>
      <c r="M79" s="93">
        <v>0.0</v>
      </c>
      <c r="N79" s="93">
        <v>1.0</v>
      </c>
      <c r="O79" s="94">
        <f t="shared" si="8"/>
        <v>1</v>
      </c>
    </row>
    <row r="80">
      <c r="A80" s="89">
        <v>14.0</v>
      </c>
      <c r="B80" s="90" t="s">
        <v>395</v>
      </c>
      <c r="C80" s="90" t="s">
        <v>466</v>
      </c>
      <c r="D80" s="90" t="s">
        <v>445</v>
      </c>
      <c r="E80" s="91">
        <v>41542.0</v>
      </c>
      <c r="F80" s="90" t="s">
        <v>447</v>
      </c>
      <c r="G80" s="92">
        <v>5.0</v>
      </c>
      <c r="H80" s="93">
        <v>4950.0</v>
      </c>
      <c r="I80" s="93">
        <v>0.0</v>
      </c>
      <c r="J80" s="93">
        <v>4950.0</v>
      </c>
      <c r="K80" s="93">
        <v>2.71</v>
      </c>
      <c r="L80" s="93">
        <v>4949.0</v>
      </c>
      <c r="M80" s="93">
        <v>0.0</v>
      </c>
      <c r="N80" s="93">
        <v>1.0</v>
      </c>
      <c r="O80" s="94">
        <f t="shared" si="8"/>
        <v>1</v>
      </c>
    </row>
    <row r="81">
      <c r="A81" s="89">
        <v>15.0</v>
      </c>
      <c r="B81" s="90" t="s">
        <v>467</v>
      </c>
      <c r="C81" s="90" t="s">
        <v>468</v>
      </c>
      <c r="D81" s="90" t="s">
        <v>445</v>
      </c>
      <c r="E81" s="91">
        <v>43174.0</v>
      </c>
      <c r="F81" s="90" t="s">
        <v>447</v>
      </c>
      <c r="G81" s="92">
        <v>5.0</v>
      </c>
      <c r="H81" s="93">
        <v>1200.0</v>
      </c>
      <c r="I81" s="93">
        <v>0.0</v>
      </c>
      <c r="J81" s="93">
        <v>1200.0</v>
      </c>
      <c r="K81" s="93">
        <v>0.66</v>
      </c>
      <c r="L81" s="93">
        <v>1199.0</v>
      </c>
      <c r="M81" s="93">
        <v>0.0</v>
      </c>
      <c r="N81" s="93">
        <v>1.0</v>
      </c>
      <c r="O81" s="94">
        <f t="shared" si="8"/>
        <v>1</v>
      </c>
    </row>
    <row r="82">
      <c r="A82" s="89">
        <v>16.0</v>
      </c>
      <c r="B82" s="90" t="s">
        <v>429</v>
      </c>
      <c r="C82" s="90" t="s">
        <v>469</v>
      </c>
      <c r="D82" s="90" t="s">
        <v>445</v>
      </c>
      <c r="E82" s="91">
        <v>42397.0</v>
      </c>
      <c r="F82" s="90" t="s">
        <v>447</v>
      </c>
      <c r="G82" s="92">
        <v>5.0</v>
      </c>
      <c r="H82" s="93">
        <v>39790.0</v>
      </c>
      <c r="I82" s="93">
        <v>795.8</v>
      </c>
      <c r="J82" s="93">
        <v>38994.2</v>
      </c>
      <c r="K82" s="93">
        <v>21.37</v>
      </c>
      <c r="L82" s="93">
        <v>38993.2</v>
      </c>
      <c r="M82" s="93">
        <v>0.0</v>
      </c>
      <c r="N82" s="93">
        <v>1.0</v>
      </c>
      <c r="O82" s="94">
        <f t="shared" si="8"/>
        <v>796.8</v>
      </c>
    </row>
    <row r="83">
      <c r="A83" s="89">
        <v>17.0</v>
      </c>
      <c r="B83" s="90" t="s">
        <v>425</v>
      </c>
      <c r="C83" s="90" t="s">
        <v>470</v>
      </c>
      <c r="D83" s="90" t="s">
        <v>445</v>
      </c>
      <c r="E83" s="91">
        <v>42713.0</v>
      </c>
      <c r="F83" s="90" t="s">
        <v>447</v>
      </c>
      <c r="G83" s="92">
        <v>5.0</v>
      </c>
      <c r="H83" s="93">
        <v>12390.0</v>
      </c>
      <c r="I83" s="93">
        <v>68.0</v>
      </c>
      <c r="J83" s="93">
        <v>12322.0</v>
      </c>
      <c r="K83" s="93">
        <v>6.75</v>
      </c>
      <c r="L83" s="93">
        <v>12321.0</v>
      </c>
      <c r="M83" s="93">
        <v>0.0</v>
      </c>
      <c r="N83" s="93">
        <v>1.0</v>
      </c>
      <c r="O83" s="94">
        <f t="shared" si="8"/>
        <v>69</v>
      </c>
    </row>
    <row r="84">
      <c r="A84" s="89">
        <v>18.0</v>
      </c>
      <c r="B84" s="90" t="s">
        <v>358</v>
      </c>
      <c r="C84" s="90" t="s">
        <v>471</v>
      </c>
      <c r="D84" s="90" t="s">
        <v>445</v>
      </c>
      <c r="E84" s="91">
        <v>42626.0</v>
      </c>
      <c r="F84" s="90" t="s">
        <v>447</v>
      </c>
      <c r="G84" s="92">
        <v>5.0</v>
      </c>
      <c r="H84" s="93">
        <v>4990.0</v>
      </c>
      <c r="I84" s="93">
        <v>29.36</v>
      </c>
      <c r="J84" s="93">
        <v>4960.64</v>
      </c>
      <c r="K84" s="93">
        <v>2.72</v>
      </c>
      <c r="L84" s="93">
        <v>4959.64</v>
      </c>
      <c r="M84" s="93">
        <v>0.0</v>
      </c>
      <c r="N84" s="93">
        <v>1.0</v>
      </c>
      <c r="O84" s="94">
        <f t="shared" si="8"/>
        <v>30.36</v>
      </c>
    </row>
    <row r="85">
      <c r="A85" s="89">
        <v>19.0</v>
      </c>
      <c r="B85" s="90" t="s">
        <v>472</v>
      </c>
      <c r="C85" s="90" t="s">
        <v>473</v>
      </c>
      <c r="D85" s="90" t="s">
        <v>445</v>
      </c>
      <c r="E85" s="91">
        <v>42219.0</v>
      </c>
      <c r="F85" s="90" t="s">
        <v>447</v>
      </c>
      <c r="G85" s="92">
        <v>5.0</v>
      </c>
      <c r="H85" s="93">
        <v>36000.0</v>
      </c>
      <c r="I85" s="93">
        <v>263.1</v>
      </c>
      <c r="J85" s="93">
        <v>35736.9</v>
      </c>
      <c r="K85" s="93">
        <v>19.58</v>
      </c>
      <c r="L85" s="93">
        <v>35735.9</v>
      </c>
      <c r="M85" s="93">
        <v>0.0</v>
      </c>
      <c r="N85" s="93">
        <v>1.0</v>
      </c>
      <c r="O85" s="94">
        <f t="shared" si="8"/>
        <v>264.1</v>
      </c>
    </row>
    <row r="86">
      <c r="A86" s="89">
        <v>20.0</v>
      </c>
      <c r="B86" s="90" t="s">
        <v>395</v>
      </c>
      <c r="C86" s="90" t="s">
        <v>474</v>
      </c>
      <c r="D86" s="90" t="s">
        <v>445</v>
      </c>
      <c r="E86" s="91">
        <v>43229.0</v>
      </c>
      <c r="F86" s="90" t="s">
        <v>447</v>
      </c>
      <c r="G86" s="92">
        <v>5.0</v>
      </c>
      <c r="H86" s="93">
        <v>2990.0</v>
      </c>
      <c r="I86" s="93">
        <v>59.8</v>
      </c>
      <c r="J86" s="93">
        <v>2930.2</v>
      </c>
      <c r="K86" s="93">
        <v>1.61</v>
      </c>
      <c r="L86" s="93">
        <v>2665.63</v>
      </c>
      <c r="M86" s="93">
        <v>263.57</v>
      </c>
      <c r="N86" s="93">
        <v>1.0</v>
      </c>
      <c r="O86" s="94">
        <f t="shared" si="8"/>
        <v>60.8</v>
      </c>
    </row>
    <row r="87">
      <c r="A87" s="89">
        <v>21.0</v>
      </c>
      <c r="B87" s="90" t="s">
        <v>395</v>
      </c>
      <c r="C87" s="90" t="s">
        <v>475</v>
      </c>
      <c r="D87" s="90" t="s">
        <v>445</v>
      </c>
      <c r="E87" s="91">
        <v>43229.0</v>
      </c>
      <c r="F87" s="90" t="s">
        <v>447</v>
      </c>
      <c r="G87" s="92">
        <v>5.0</v>
      </c>
      <c r="H87" s="93">
        <v>2990.0</v>
      </c>
      <c r="I87" s="93">
        <v>59.8</v>
      </c>
      <c r="J87" s="93">
        <v>2930.2</v>
      </c>
      <c r="K87" s="93">
        <v>1.61</v>
      </c>
      <c r="L87" s="93">
        <v>2665.63</v>
      </c>
      <c r="M87" s="93">
        <v>263.57</v>
      </c>
      <c r="N87" s="93">
        <v>1.0</v>
      </c>
      <c r="O87" s="94">
        <f t="shared" si="8"/>
        <v>60.8</v>
      </c>
    </row>
    <row r="88">
      <c r="A88" s="89">
        <v>22.0</v>
      </c>
      <c r="B88" s="90" t="s">
        <v>476</v>
      </c>
      <c r="C88" s="90" t="s">
        <v>477</v>
      </c>
      <c r="D88" s="90" t="s">
        <v>478</v>
      </c>
      <c r="E88" s="91">
        <v>43671.0</v>
      </c>
      <c r="F88" s="90" t="s">
        <v>479</v>
      </c>
      <c r="G88" s="92">
        <v>5.0</v>
      </c>
      <c r="H88" s="93">
        <v>5897.0</v>
      </c>
      <c r="I88" s="93">
        <v>117.94</v>
      </c>
      <c r="J88" s="93">
        <v>5779.06</v>
      </c>
      <c r="K88" s="93">
        <v>3.17</v>
      </c>
      <c r="L88" s="93">
        <v>4969.68</v>
      </c>
      <c r="M88" s="93">
        <v>672.04</v>
      </c>
      <c r="N88" s="93">
        <v>137.34</v>
      </c>
      <c r="O88" s="94">
        <f t="shared" si="8"/>
        <v>255.28</v>
      </c>
    </row>
    <row r="89">
      <c r="A89" s="89">
        <v>23.0</v>
      </c>
      <c r="B89" s="90" t="s">
        <v>448</v>
      </c>
      <c r="C89" s="90" t="s">
        <v>480</v>
      </c>
      <c r="D89" s="90" t="s">
        <v>445</v>
      </c>
      <c r="E89" s="91">
        <v>44728.0</v>
      </c>
      <c r="F89" s="90" t="s">
        <v>450</v>
      </c>
      <c r="G89" s="92">
        <v>5.0</v>
      </c>
      <c r="H89" s="93">
        <v>2170.0</v>
      </c>
      <c r="I89" s="93">
        <v>43.4</v>
      </c>
      <c r="J89" s="93">
        <v>2126.6</v>
      </c>
      <c r="K89" s="93">
        <v>1.17</v>
      </c>
      <c r="L89" s="93">
        <v>1031.9</v>
      </c>
      <c r="M89" s="93">
        <v>248.04</v>
      </c>
      <c r="N89" s="93">
        <v>846.66</v>
      </c>
      <c r="O89" s="94">
        <f t="shared" si="8"/>
        <v>890.06</v>
      </c>
    </row>
    <row r="90">
      <c r="A90" s="89">
        <v>24.0</v>
      </c>
      <c r="B90" s="90" t="s">
        <v>457</v>
      </c>
      <c r="C90" s="90" t="s">
        <v>458</v>
      </c>
      <c r="D90" s="90" t="s">
        <v>445</v>
      </c>
      <c r="E90" s="91">
        <v>40188.0</v>
      </c>
      <c r="F90" s="90" t="s">
        <v>447</v>
      </c>
      <c r="G90" s="92">
        <v>5.0</v>
      </c>
      <c r="H90" s="93">
        <v>59000.0</v>
      </c>
      <c r="I90" s="93">
        <v>0.0</v>
      </c>
      <c r="J90" s="93">
        <v>59000.0</v>
      </c>
      <c r="K90" s="93">
        <v>32.33</v>
      </c>
      <c r="L90" s="93">
        <v>58999.0</v>
      </c>
      <c r="M90" s="93">
        <v>0.0</v>
      </c>
      <c r="N90" s="93">
        <v>1.0</v>
      </c>
      <c r="O90" s="94">
        <f t="shared" si="8"/>
        <v>1</v>
      </c>
    </row>
    <row r="91">
      <c r="A91" s="89">
        <v>25.0</v>
      </c>
      <c r="B91" s="90" t="s">
        <v>448</v>
      </c>
      <c r="C91" s="90" t="s">
        <v>481</v>
      </c>
      <c r="D91" s="90" t="s">
        <v>445</v>
      </c>
      <c r="E91" s="91">
        <v>44768.0</v>
      </c>
      <c r="F91" s="90" t="s">
        <v>447</v>
      </c>
      <c r="G91" s="92">
        <v>5.0</v>
      </c>
      <c r="H91" s="93">
        <v>2170.0</v>
      </c>
      <c r="I91" s="93">
        <v>43.4</v>
      </c>
      <c r="J91" s="93">
        <v>2126.6</v>
      </c>
      <c r="K91" s="93">
        <v>1.17</v>
      </c>
      <c r="L91" s="93">
        <v>995.33</v>
      </c>
      <c r="M91" s="93">
        <v>248.04</v>
      </c>
      <c r="N91" s="93">
        <v>883.23</v>
      </c>
      <c r="O91" s="94">
        <f t="shared" si="8"/>
        <v>926.63</v>
      </c>
    </row>
    <row r="92">
      <c r="A92" s="89">
        <v>26.0</v>
      </c>
      <c r="B92" s="90" t="s">
        <v>448</v>
      </c>
      <c r="C92" s="90" t="s">
        <v>482</v>
      </c>
      <c r="D92" s="90" t="s">
        <v>483</v>
      </c>
      <c r="E92" s="91">
        <v>44728.0</v>
      </c>
      <c r="F92" s="90" t="s">
        <v>484</v>
      </c>
      <c r="G92" s="92">
        <v>5.0</v>
      </c>
      <c r="H92" s="93">
        <v>2170.0</v>
      </c>
      <c r="I92" s="93">
        <v>43.4</v>
      </c>
      <c r="J92" s="93">
        <v>2126.6</v>
      </c>
      <c r="K92" s="93">
        <v>1.17</v>
      </c>
      <c r="L92" s="93">
        <v>1031.9</v>
      </c>
      <c r="M92" s="93">
        <v>248.04</v>
      </c>
      <c r="N92" s="93">
        <v>846.66</v>
      </c>
      <c r="O92" s="94">
        <f t="shared" si="8"/>
        <v>890.06</v>
      </c>
    </row>
    <row r="93">
      <c r="A93" s="89">
        <v>27.0</v>
      </c>
      <c r="B93" s="90" t="s">
        <v>395</v>
      </c>
      <c r="C93" s="90" t="s">
        <v>466</v>
      </c>
      <c r="D93" s="90" t="s">
        <v>445</v>
      </c>
      <c r="E93" s="91">
        <v>41542.0</v>
      </c>
      <c r="F93" s="90" t="s">
        <v>447</v>
      </c>
      <c r="G93" s="92">
        <v>5.0</v>
      </c>
      <c r="H93" s="93">
        <v>4950.0</v>
      </c>
      <c r="I93" s="93">
        <v>0.0</v>
      </c>
      <c r="J93" s="93">
        <v>4950.0</v>
      </c>
      <c r="K93" s="93">
        <v>2.71</v>
      </c>
      <c r="L93" s="93">
        <v>4949.0</v>
      </c>
      <c r="M93" s="93">
        <v>0.0</v>
      </c>
      <c r="N93" s="93">
        <v>1.0</v>
      </c>
      <c r="O93" s="94">
        <f t="shared" si="8"/>
        <v>1</v>
      </c>
    </row>
    <row r="94">
      <c r="A94" s="89">
        <v>28.0</v>
      </c>
      <c r="B94" s="90" t="s">
        <v>395</v>
      </c>
      <c r="C94" s="90" t="s">
        <v>456</v>
      </c>
      <c r="D94" s="90" t="s">
        <v>445</v>
      </c>
      <c r="E94" s="91">
        <v>39262.0</v>
      </c>
      <c r="F94" s="90" t="s">
        <v>447</v>
      </c>
      <c r="G94" s="92">
        <v>5.0</v>
      </c>
      <c r="H94" s="93">
        <v>3320.83</v>
      </c>
      <c r="I94" s="93">
        <v>0.0</v>
      </c>
      <c r="J94" s="93">
        <v>3320.83</v>
      </c>
      <c r="K94" s="93">
        <v>1.82</v>
      </c>
      <c r="L94" s="93">
        <v>3319.83</v>
      </c>
      <c r="M94" s="93">
        <v>0.0</v>
      </c>
      <c r="N94" s="93">
        <v>1.0</v>
      </c>
      <c r="O94" s="94">
        <f t="shared" si="8"/>
        <v>1</v>
      </c>
    </row>
    <row r="95">
      <c r="A95" s="89">
        <v>29.0</v>
      </c>
      <c r="B95" s="90" t="s">
        <v>485</v>
      </c>
      <c r="C95" s="90" t="s">
        <v>486</v>
      </c>
      <c r="D95" s="90" t="s">
        <v>445</v>
      </c>
      <c r="E95" s="91">
        <v>38420.0</v>
      </c>
      <c r="F95" s="90" t="s">
        <v>487</v>
      </c>
      <c r="G95" s="92">
        <v>5.0</v>
      </c>
      <c r="H95" s="93">
        <v>4000.0</v>
      </c>
      <c r="I95" s="93">
        <v>0.0</v>
      </c>
      <c r="J95" s="93">
        <v>4000.0</v>
      </c>
      <c r="K95" s="93">
        <v>2.19</v>
      </c>
      <c r="L95" s="93">
        <v>3999.0</v>
      </c>
      <c r="M95" s="93">
        <v>0.0</v>
      </c>
      <c r="N95" s="93">
        <v>1.0</v>
      </c>
      <c r="O95" s="94">
        <f t="shared" si="8"/>
        <v>1</v>
      </c>
    </row>
    <row r="96">
      <c r="A96" s="89">
        <v>30.0</v>
      </c>
      <c r="B96" s="90" t="s">
        <v>467</v>
      </c>
      <c r="C96" s="90" t="s">
        <v>468</v>
      </c>
      <c r="D96" s="90" t="s">
        <v>445</v>
      </c>
      <c r="E96" s="91">
        <v>43174.0</v>
      </c>
      <c r="F96" s="90" t="s">
        <v>447</v>
      </c>
      <c r="G96" s="92">
        <v>5.0</v>
      </c>
      <c r="H96" s="93">
        <v>1200.0</v>
      </c>
      <c r="I96" s="93">
        <v>0.0</v>
      </c>
      <c r="J96" s="93">
        <v>1200.0</v>
      </c>
      <c r="K96" s="93">
        <v>0.66</v>
      </c>
      <c r="L96" s="93">
        <v>1199.0</v>
      </c>
      <c r="M96" s="93">
        <v>0.0</v>
      </c>
      <c r="N96" s="93">
        <v>1.0</v>
      </c>
      <c r="O96" s="94">
        <f t="shared" si="8"/>
        <v>1</v>
      </c>
    </row>
    <row r="97">
      <c r="A97" s="89">
        <v>31.0</v>
      </c>
      <c r="B97" s="90" t="s">
        <v>395</v>
      </c>
      <c r="C97" s="90" t="s">
        <v>456</v>
      </c>
      <c r="D97" s="90" t="s">
        <v>445</v>
      </c>
      <c r="E97" s="91">
        <v>39262.0</v>
      </c>
      <c r="F97" s="90" t="s">
        <v>447</v>
      </c>
      <c r="G97" s="92">
        <v>5.0</v>
      </c>
      <c r="H97" s="93">
        <v>3320.83</v>
      </c>
      <c r="I97" s="93">
        <v>0.0</v>
      </c>
      <c r="J97" s="93">
        <v>3320.83</v>
      </c>
      <c r="K97" s="93">
        <v>1.82</v>
      </c>
      <c r="L97" s="93">
        <v>3319.83</v>
      </c>
      <c r="M97" s="93">
        <v>0.0</v>
      </c>
      <c r="N97" s="93">
        <v>1.0</v>
      </c>
      <c r="O97" s="94">
        <f t="shared" si="8"/>
        <v>1</v>
      </c>
    </row>
    <row r="98">
      <c r="A98" s="89">
        <v>32.0</v>
      </c>
      <c r="B98" s="90" t="s">
        <v>488</v>
      </c>
      <c r="C98" s="90" t="s">
        <v>489</v>
      </c>
      <c r="D98" s="90" t="s">
        <v>445</v>
      </c>
      <c r="E98" s="91">
        <v>41235.0</v>
      </c>
      <c r="F98" s="90" t="s">
        <v>447</v>
      </c>
      <c r="G98" s="92">
        <v>5.0</v>
      </c>
      <c r="H98" s="93">
        <v>3000.0</v>
      </c>
      <c r="I98" s="93">
        <v>0.0</v>
      </c>
      <c r="J98" s="93">
        <v>3000.0</v>
      </c>
      <c r="K98" s="93">
        <v>1.64</v>
      </c>
      <c r="L98" s="93">
        <v>2999.0</v>
      </c>
      <c r="M98" s="93">
        <v>0.0</v>
      </c>
      <c r="N98" s="93">
        <v>1.0</v>
      </c>
      <c r="O98" s="94">
        <f t="shared" si="8"/>
        <v>1</v>
      </c>
    </row>
    <row r="99">
      <c r="A99" s="82"/>
      <c r="B99" s="83"/>
      <c r="C99" s="84"/>
      <c r="D99" s="84"/>
      <c r="E99" s="85"/>
      <c r="F99" s="84"/>
      <c r="G99" s="86"/>
      <c r="H99" s="82"/>
      <c r="I99" s="82"/>
      <c r="J99" s="82"/>
      <c r="K99" s="82"/>
      <c r="L99" s="82"/>
      <c r="M99" s="82"/>
      <c r="N99" s="82"/>
      <c r="O99" s="87"/>
    </row>
    <row r="100">
      <c r="A100" s="88" t="s">
        <v>490</v>
      </c>
      <c r="B100" s="18"/>
      <c r="C100" s="18"/>
      <c r="D100" s="4"/>
      <c r="E100" s="85"/>
      <c r="F100" s="84"/>
      <c r="G100" s="86"/>
      <c r="H100" s="82"/>
      <c r="I100" s="82"/>
      <c r="J100" s="82"/>
      <c r="K100" s="82"/>
      <c r="L100" s="82"/>
      <c r="M100" s="82"/>
      <c r="N100" s="82"/>
      <c r="O100" s="87"/>
    </row>
    <row r="101">
      <c r="A101" s="89">
        <v>1.0</v>
      </c>
      <c r="B101" s="90" t="s">
        <v>448</v>
      </c>
      <c r="C101" s="90" t="s">
        <v>491</v>
      </c>
      <c r="D101" s="90" t="s">
        <v>190</v>
      </c>
      <c r="E101" s="91">
        <v>36684.0</v>
      </c>
      <c r="F101" s="90" t="s">
        <v>492</v>
      </c>
      <c r="G101" s="92">
        <v>5.0</v>
      </c>
      <c r="H101" s="93">
        <v>500.0</v>
      </c>
      <c r="I101" s="93">
        <v>0.0</v>
      </c>
      <c r="J101" s="93">
        <v>500.0</v>
      </c>
      <c r="K101" s="93">
        <v>0.27</v>
      </c>
      <c r="L101" s="93">
        <v>499.0</v>
      </c>
      <c r="M101" s="93">
        <v>0.0</v>
      </c>
      <c r="N101" s="93">
        <v>1.0</v>
      </c>
      <c r="O101" s="94">
        <f t="shared" ref="O101:O103" si="9">I101+N101</f>
        <v>1</v>
      </c>
    </row>
    <row r="102">
      <c r="A102" s="89">
        <v>5.0</v>
      </c>
      <c r="B102" s="90" t="s">
        <v>413</v>
      </c>
      <c r="C102" s="90" t="s">
        <v>493</v>
      </c>
      <c r="D102" s="90" t="s">
        <v>173</v>
      </c>
      <c r="E102" s="91">
        <v>28491.0</v>
      </c>
      <c r="F102" s="90" t="s">
        <v>494</v>
      </c>
      <c r="G102" s="92">
        <v>5.0</v>
      </c>
      <c r="H102" s="93">
        <v>6860.0</v>
      </c>
      <c r="I102" s="93">
        <v>0.0</v>
      </c>
      <c r="J102" s="93">
        <v>6860.0</v>
      </c>
      <c r="K102" s="93">
        <v>3.76</v>
      </c>
      <c r="L102" s="93">
        <v>6859.0</v>
      </c>
      <c r="M102" s="93">
        <v>0.0</v>
      </c>
      <c r="N102" s="93">
        <v>1.0</v>
      </c>
      <c r="O102" s="94">
        <f t="shared" si="9"/>
        <v>1</v>
      </c>
    </row>
    <row r="103">
      <c r="A103" s="89">
        <v>2.0</v>
      </c>
      <c r="B103" s="90" t="s">
        <v>354</v>
      </c>
      <c r="C103" s="90" t="s">
        <v>495</v>
      </c>
      <c r="D103" s="90" t="s">
        <v>190</v>
      </c>
      <c r="E103" s="91">
        <v>43202.0</v>
      </c>
      <c r="F103" s="90" t="s">
        <v>492</v>
      </c>
      <c r="G103" s="92">
        <v>5.0</v>
      </c>
      <c r="H103" s="93">
        <v>2189.0</v>
      </c>
      <c r="I103" s="93">
        <v>43.78</v>
      </c>
      <c r="J103" s="93">
        <v>2145.22</v>
      </c>
      <c r="K103" s="93">
        <v>1.18</v>
      </c>
      <c r="L103" s="93">
        <v>1871.13</v>
      </c>
      <c r="M103" s="93">
        <v>250.16</v>
      </c>
      <c r="N103" s="93">
        <v>23.93</v>
      </c>
      <c r="O103" s="94">
        <f t="shared" si="9"/>
        <v>67.71</v>
      </c>
    </row>
    <row r="104">
      <c r="A104" s="82"/>
      <c r="B104" s="83"/>
      <c r="C104" s="84"/>
      <c r="D104" s="84"/>
      <c r="E104" s="85"/>
      <c r="F104" s="84"/>
      <c r="G104" s="86"/>
      <c r="H104" s="82"/>
      <c r="I104" s="82"/>
      <c r="J104" s="82"/>
      <c r="K104" s="82"/>
      <c r="L104" s="82"/>
      <c r="M104" s="82"/>
      <c r="N104" s="82"/>
      <c r="O104" s="87"/>
    </row>
    <row r="105">
      <c r="A105" s="82"/>
      <c r="B105" s="83"/>
      <c r="C105" s="84"/>
      <c r="D105" s="84"/>
      <c r="E105" s="85"/>
      <c r="F105" s="84"/>
      <c r="G105" s="86"/>
      <c r="H105" s="82"/>
      <c r="I105" s="82"/>
      <c r="J105" s="82"/>
      <c r="K105" s="82"/>
      <c r="L105" s="82"/>
      <c r="M105" s="82"/>
      <c r="N105" s="82"/>
      <c r="O105" s="87"/>
    </row>
    <row r="106">
      <c r="A106" s="95" t="s">
        <v>496</v>
      </c>
      <c r="B106" s="18"/>
      <c r="C106" s="18"/>
      <c r="D106" s="18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7"/>
    </row>
    <row r="107">
      <c r="A107" s="88" t="s">
        <v>249</v>
      </c>
      <c r="B107" s="18"/>
      <c r="C107" s="18"/>
      <c r="D107" s="4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9"/>
    </row>
    <row r="108">
      <c r="A108" s="89">
        <v>1.0</v>
      </c>
      <c r="B108" s="90" t="s">
        <v>429</v>
      </c>
      <c r="C108" s="90" t="s">
        <v>497</v>
      </c>
      <c r="D108" s="90" t="s">
        <v>249</v>
      </c>
      <c r="E108" s="91">
        <v>39902.0</v>
      </c>
      <c r="F108" s="90" t="s">
        <v>498</v>
      </c>
      <c r="G108" s="92">
        <v>5.0</v>
      </c>
      <c r="H108" s="93">
        <v>34999.0</v>
      </c>
      <c r="I108" s="93">
        <v>0.0</v>
      </c>
      <c r="J108" s="93">
        <v>34999.0</v>
      </c>
      <c r="K108" s="93">
        <v>19.18</v>
      </c>
      <c r="L108" s="93">
        <v>34998.0</v>
      </c>
      <c r="M108" s="93">
        <v>0.0</v>
      </c>
      <c r="N108" s="93">
        <v>1.0</v>
      </c>
      <c r="O108" s="94">
        <f t="shared" ref="O108:O135" si="10">I108+N108</f>
        <v>1</v>
      </c>
    </row>
    <row r="109">
      <c r="A109" s="89">
        <v>2.0</v>
      </c>
      <c r="B109" s="90" t="s">
        <v>476</v>
      </c>
      <c r="C109" s="90" t="s">
        <v>499</v>
      </c>
      <c r="D109" s="90" t="s">
        <v>249</v>
      </c>
      <c r="E109" s="91">
        <v>40111.0</v>
      </c>
      <c r="F109" s="90" t="s">
        <v>498</v>
      </c>
      <c r="G109" s="92">
        <v>5.0</v>
      </c>
      <c r="H109" s="93">
        <v>4600.0</v>
      </c>
      <c r="I109" s="93">
        <v>0.0</v>
      </c>
      <c r="J109" s="93">
        <v>4600.0</v>
      </c>
      <c r="K109" s="93">
        <v>2.52</v>
      </c>
      <c r="L109" s="93">
        <v>4599.0</v>
      </c>
      <c r="M109" s="93">
        <v>0.0</v>
      </c>
      <c r="N109" s="93">
        <v>1.0</v>
      </c>
      <c r="O109" s="94">
        <f t="shared" si="10"/>
        <v>1</v>
      </c>
    </row>
    <row r="110">
      <c r="A110" s="89">
        <v>3.0</v>
      </c>
      <c r="B110" s="90" t="s">
        <v>457</v>
      </c>
      <c r="C110" s="90" t="s">
        <v>500</v>
      </c>
      <c r="D110" s="90" t="s">
        <v>249</v>
      </c>
      <c r="E110" s="91">
        <v>42478.0</v>
      </c>
      <c r="F110" s="90" t="s">
        <v>498</v>
      </c>
      <c r="G110" s="92">
        <v>5.0</v>
      </c>
      <c r="H110" s="93">
        <v>37000.0</v>
      </c>
      <c r="I110" s="93">
        <v>740.0</v>
      </c>
      <c r="J110" s="93">
        <v>36260.0</v>
      </c>
      <c r="K110" s="93">
        <v>19.87</v>
      </c>
      <c r="L110" s="93">
        <v>36259.0</v>
      </c>
      <c r="M110" s="93">
        <v>0.0</v>
      </c>
      <c r="N110" s="93">
        <v>1.0</v>
      </c>
      <c r="O110" s="94">
        <f t="shared" si="10"/>
        <v>741</v>
      </c>
    </row>
    <row r="111">
      <c r="A111" s="89">
        <v>4.0</v>
      </c>
      <c r="B111" s="90" t="s">
        <v>358</v>
      </c>
      <c r="C111" s="90" t="s">
        <v>501</v>
      </c>
      <c r="D111" s="90" t="s">
        <v>249</v>
      </c>
      <c r="E111" s="91">
        <v>42626.0</v>
      </c>
      <c r="F111" s="90" t="s">
        <v>498</v>
      </c>
      <c r="G111" s="92">
        <v>5.0</v>
      </c>
      <c r="H111" s="93">
        <v>4990.0</v>
      </c>
      <c r="I111" s="93">
        <v>99.8</v>
      </c>
      <c r="J111" s="93">
        <v>4890.2</v>
      </c>
      <c r="K111" s="93">
        <v>2.68</v>
      </c>
      <c r="L111" s="93">
        <v>4889.2</v>
      </c>
      <c r="M111" s="93">
        <v>0.0</v>
      </c>
      <c r="N111" s="93">
        <v>1.0</v>
      </c>
      <c r="O111" s="94">
        <f t="shared" si="10"/>
        <v>100.8</v>
      </c>
    </row>
    <row r="112">
      <c r="A112" s="89">
        <v>5.0</v>
      </c>
      <c r="B112" s="90" t="s">
        <v>395</v>
      </c>
      <c r="C112" s="90" t="s">
        <v>502</v>
      </c>
      <c r="D112" s="90" t="s">
        <v>249</v>
      </c>
      <c r="E112" s="91">
        <v>43229.0</v>
      </c>
      <c r="F112" s="90" t="s">
        <v>498</v>
      </c>
      <c r="G112" s="92">
        <v>5.0</v>
      </c>
      <c r="H112" s="93">
        <v>2990.0</v>
      </c>
      <c r="I112" s="93">
        <v>59.8</v>
      </c>
      <c r="J112" s="93">
        <v>2930.2</v>
      </c>
      <c r="K112" s="93">
        <v>1.61</v>
      </c>
      <c r="L112" s="93">
        <v>2665.63</v>
      </c>
      <c r="M112" s="93">
        <v>263.57</v>
      </c>
      <c r="N112" s="93">
        <v>1.0</v>
      </c>
      <c r="O112" s="94">
        <f t="shared" si="10"/>
        <v>60.8</v>
      </c>
    </row>
    <row r="113">
      <c r="A113" s="89">
        <v>6.0</v>
      </c>
      <c r="B113" s="90" t="s">
        <v>370</v>
      </c>
      <c r="C113" s="90" t="s">
        <v>503</v>
      </c>
      <c r="D113" s="90" t="s">
        <v>249</v>
      </c>
      <c r="E113" s="91">
        <v>37008.0</v>
      </c>
      <c r="F113" s="90" t="s">
        <v>504</v>
      </c>
      <c r="G113" s="92">
        <v>5.0</v>
      </c>
      <c r="H113" s="93">
        <v>2000.0</v>
      </c>
      <c r="I113" s="93">
        <v>0.0</v>
      </c>
      <c r="J113" s="93">
        <v>2000.0</v>
      </c>
      <c r="K113" s="93">
        <v>1.1</v>
      </c>
      <c r="L113" s="93">
        <v>1999.0</v>
      </c>
      <c r="M113" s="93">
        <v>0.0</v>
      </c>
      <c r="N113" s="93">
        <v>1.0</v>
      </c>
      <c r="O113" s="94">
        <f t="shared" si="10"/>
        <v>1</v>
      </c>
    </row>
    <row r="114">
      <c r="A114" s="89">
        <v>7.0</v>
      </c>
      <c r="B114" s="90" t="s">
        <v>505</v>
      </c>
      <c r="C114" s="90" t="s">
        <v>506</v>
      </c>
      <c r="D114" s="90" t="s">
        <v>249</v>
      </c>
      <c r="E114" s="91">
        <v>42177.0</v>
      </c>
      <c r="F114" s="90" t="s">
        <v>507</v>
      </c>
      <c r="G114" s="92">
        <v>5.0</v>
      </c>
      <c r="H114" s="93">
        <v>12960.0</v>
      </c>
      <c r="I114" s="93">
        <v>0.0</v>
      </c>
      <c r="J114" s="93">
        <v>12960.0</v>
      </c>
      <c r="K114" s="93">
        <v>7.1</v>
      </c>
      <c r="L114" s="93">
        <v>12959.0</v>
      </c>
      <c r="M114" s="93">
        <v>0.0</v>
      </c>
      <c r="N114" s="93">
        <v>1.0</v>
      </c>
      <c r="O114" s="94">
        <f t="shared" si="10"/>
        <v>1</v>
      </c>
    </row>
    <row r="115">
      <c r="A115" s="89">
        <v>8.0</v>
      </c>
      <c r="B115" s="90" t="s">
        <v>395</v>
      </c>
      <c r="C115" s="90" t="s">
        <v>502</v>
      </c>
      <c r="D115" s="90" t="s">
        <v>249</v>
      </c>
      <c r="E115" s="91">
        <v>43229.0</v>
      </c>
      <c r="F115" s="90" t="s">
        <v>498</v>
      </c>
      <c r="G115" s="92">
        <v>5.0</v>
      </c>
      <c r="H115" s="93">
        <v>2990.0</v>
      </c>
      <c r="I115" s="93">
        <v>59.8</v>
      </c>
      <c r="J115" s="93">
        <v>2930.2</v>
      </c>
      <c r="K115" s="93">
        <v>1.61</v>
      </c>
      <c r="L115" s="93">
        <v>2665.63</v>
      </c>
      <c r="M115" s="93">
        <v>263.57</v>
      </c>
      <c r="N115" s="93">
        <v>1.0</v>
      </c>
      <c r="O115" s="94">
        <f t="shared" si="10"/>
        <v>60.8</v>
      </c>
    </row>
    <row r="116">
      <c r="A116" s="89">
        <v>9.0</v>
      </c>
      <c r="B116" s="90" t="s">
        <v>508</v>
      </c>
      <c r="C116" s="90" t="s">
        <v>509</v>
      </c>
      <c r="D116" s="90" t="s">
        <v>510</v>
      </c>
      <c r="E116" s="91">
        <v>41516.0</v>
      </c>
      <c r="F116" s="90" t="s">
        <v>511</v>
      </c>
      <c r="G116" s="92">
        <v>5.0</v>
      </c>
      <c r="H116" s="93">
        <v>9890.0</v>
      </c>
      <c r="I116" s="93">
        <v>0.0</v>
      </c>
      <c r="J116" s="93">
        <v>9890.0</v>
      </c>
      <c r="K116" s="93">
        <v>5.42</v>
      </c>
      <c r="L116" s="93">
        <v>9889.0</v>
      </c>
      <c r="M116" s="93">
        <v>0.0</v>
      </c>
      <c r="N116" s="93">
        <v>1.0</v>
      </c>
      <c r="O116" s="94">
        <f t="shared" si="10"/>
        <v>1</v>
      </c>
    </row>
    <row r="117">
      <c r="A117" s="89">
        <v>10.0</v>
      </c>
      <c r="B117" s="90" t="s">
        <v>512</v>
      </c>
      <c r="C117" s="90" t="s">
        <v>513</v>
      </c>
      <c r="D117" s="90" t="s">
        <v>127</v>
      </c>
      <c r="E117" s="91">
        <v>43339.0</v>
      </c>
      <c r="F117" s="90" t="s">
        <v>126</v>
      </c>
      <c r="G117" s="92">
        <v>5.0</v>
      </c>
      <c r="H117" s="93">
        <v>13790.0</v>
      </c>
      <c r="I117" s="93">
        <v>275.8</v>
      </c>
      <c r="J117" s="93">
        <v>13514.2</v>
      </c>
      <c r="K117" s="93">
        <v>7.41</v>
      </c>
      <c r="L117" s="93">
        <v>12339.48</v>
      </c>
      <c r="M117" s="93">
        <v>1173.72</v>
      </c>
      <c r="N117" s="93">
        <v>1.0</v>
      </c>
      <c r="O117" s="94">
        <f t="shared" si="10"/>
        <v>276.8</v>
      </c>
    </row>
    <row r="118">
      <c r="A118" s="89">
        <v>11.0</v>
      </c>
      <c r="B118" s="90" t="s">
        <v>429</v>
      </c>
      <c r="C118" s="90" t="s">
        <v>514</v>
      </c>
      <c r="D118" s="90" t="s">
        <v>515</v>
      </c>
      <c r="E118" s="91">
        <v>42387.0</v>
      </c>
      <c r="F118" s="90" t="s">
        <v>516</v>
      </c>
      <c r="G118" s="92">
        <v>5.0</v>
      </c>
      <c r="H118" s="93">
        <v>39790.0</v>
      </c>
      <c r="I118" s="93">
        <v>795.8</v>
      </c>
      <c r="J118" s="93">
        <v>38994.2</v>
      </c>
      <c r="K118" s="93">
        <v>21.37</v>
      </c>
      <c r="L118" s="93">
        <v>38993.2</v>
      </c>
      <c r="M118" s="93">
        <v>0.0</v>
      </c>
      <c r="N118" s="93">
        <v>1.0</v>
      </c>
      <c r="O118" s="94">
        <f t="shared" si="10"/>
        <v>796.8</v>
      </c>
    </row>
    <row r="119">
      <c r="A119" s="89">
        <v>12.0</v>
      </c>
      <c r="B119" s="90" t="s">
        <v>425</v>
      </c>
      <c r="C119" s="90" t="s">
        <v>517</v>
      </c>
      <c r="D119" s="90" t="s">
        <v>515</v>
      </c>
      <c r="E119" s="91">
        <v>42593.0</v>
      </c>
      <c r="F119" s="90" t="s">
        <v>516</v>
      </c>
      <c r="G119" s="92">
        <v>5.0</v>
      </c>
      <c r="H119" s="93">
        <v>12390.0</v>
      </c>
      <c r="I119" s="93">
        <v>247.8</v>
      </c>
      <c r="J119" s="93">
        <v>12142.2</v>
      </c>
      <c r="K119" s="93">
        <v>6.65</v>
      </c>
      <c r="L119" s="93">
        <v>12141.2</v>
      </c>
      <c r="M119" s="93">
        <v>0.0</v>
      </c>
      <c r="N119" s="93">
        <v>1.0</v>
      </c>
      <c r="O119" s="94">
        <f t="shared" si="10"/>
        <v>248.8</v>
      </c>
    </row>
    <row r="120">
      <c r="A120" s="89">
        <v>13.0</v>
      </c>
      <c r="B120" s="90" t="s">
        <v>398</v>
      </c>
      <c r="C120" s="90" t="s">
        <v>518</v>
      </c>
      <c r="D120" s="90" t="s">
        <v>515</v>
      </c>
      <c r="E120" s="91">
        <v>42713.0</v>
      </c>
      <c r="F120" s="90" t="s">
        <v>516</v>
      </c>
      <c r="G120" s="92">
        <v>5.0</v>
      </c>
      <c r="H120" s="93">
        <v>12390.0</v>
      </c>
      <c r="I120" s="93">
        <v>247.8</v>
      </c>
      <c r="J120" s="93">
        <v>12142.2</v>
      </c>
      <c r="K120" s="93">
        <v>6.65</v>
      </c>
      <c r="L120" s="93">
        <v>12141.2</v>
      </c>
      <c r="M120" s="93">
        <v>0.0</v>
      </c>
      <c r="N120" s="93">
        <v>1.0</v>
      </c>
      <c r="O120" s="94">
        <f t="shared" si="10"/>
        <v>248.8</v>
      </c>
    </row>
    <row r="121">
      <c r="A121" s="89">
        <v>14.0</v>
      </c>
      <c r="B121" s="90" t="s">
        <v>429</v>
      </c>
      <c r="C121" s="90" t="s">
        <v>519</v>
      </c>
      <c r="D121" s="90" t="s">
        <v>520</v>
      </c>
      <c r="E121" s="91">
        <v>39570.0</v>
      </c>
      <c r="F121" s="90" t="s">
        <v>521</v>
      </c>
      <c r="G121" s="92">
        <v>5.0</v>
      </c>
      <c r="H121" s="93">
        <v>40999.0</v>
      </c>
      <c r="I121" s="93">
        <v>0.0</v>
      </c>
      <c r="J121" s="93">
        <v>40999.0</v>
      </c>
      <c r="K121" s="93">
        <v>22.47</v>
      </c>
      <c r="L121" s="93">
        <v>40998.0</v>
      </c>
      <c r="M121" s="93">
        <v>0.0</v>
      </c>
      <c r="N121" s="93">
        <v>1.0</v>
      </c>
      <c r="O121" s="94">
        <f t="shared" si="10"/>
        <v>1</v>
      </c>
    </row>
    <row r="122">
      <c r="A122" s="89">
        <v>15.0</v>
      </c>
      <c r="B122" s="90" t="s">
        <v>440</v>
      </c>
      <c r="C122" s="90" t="s">
        <v>522</v>
      </c>
      <c r="D122" s="90" t="s">
        <v>520</v>
      </c>
      <c r="E122" s="91">
        <v>43664.0</v>
      </c>
      <c r="F122" s="90" t="s">
        <v>521</v>
      </c>
      <c r="G122" s="92">
        <v>5.0</v>
      </c>
      <c r="H122" s="93">
        <v>4890.0</v>
      </c>
      <c r="I122" s="93">
        <v>97.8</v>
      </c>
      <c r="J122" s="93">
        <v>4792.2</v>
      </c>
      <c r="K122" s="93">
        <v>2.63</v>
      </c>
      <c r="L122" s="93">
        <v>4121.52</v>
      </c>
      <c r="M122" s="93">
        <v>557.56</v>
      </c>
      <c r="N122" s="93">
        <v>113.12</v>
      </c>
      <c r="O122" s="94">
        <f t="shared" si="10"/>
        <v>210.92</v>
      </c>
    </row>
    <row r="123">
      <c r="A123" s="89">
        <v>16.0</v>
      </c>
      <c r="B123" s="90" t="s">
        <v>523</v>
      </c>
      <c r="C123" s="90" t="s">
        <v>524</v>
      </c>
      <c r="D123" s="90" t="s">
        <v>520</v>
      </c>
      <c r="E123" s="91">
        <v>44842.0</v>
      </c>
      <c r="F123" s="90" t="s">
        <v>521</v>
      </c>
      <c r="G123" s="92">
        <v>5.0</v>
      </c>
      <c r="H123" s="93">
        <v>5890.0</v>
      </c>
      <c r="I123" s="93">
        <v>117.8</v>
      </c>
      <c r="J123" s="93">
        <v>5772.2</v>
      </c>
      <c r="K123" s="93">
        <v>3.16</v>
      </c>
      <c r="L123" s="93">
        <v>2659.56</v>
      </c>
      <c r="M123" s="93">
        <v>669.92</v>
      </c>
      <c r="N123" s="93">
        <v>2442.72</v>
      </c>
      <c r="O123" s="94">
        <f t="shared" si="10"/>
        <v>2560.52</v>
      </c>
    </row>
    <row r="124">
      <c r="A124" s="89">
        <v>17.0</v>
      </c>
      <c r="B124" s="90" t="s">
        <v>413</v>
      </c>
      <c r="C124" s="90" t="s">
        <v>525</v>
      </c>
      <c r="D124" s="90" t="s">
        <v>526</v>
      </c>
      <c r="E124" s="91">
        <v>33970.0</v>
      </c>
      <c r="F124" s="90" t="s">
        <v>527</v>
      </c>
      <c r="G124" s="92">
        <v>5.0</v>
      </c>
      <c r="H124" s="93">
        <v>1364.8</v>
      </c>
      <c r="I124" s="93">
        <v>0.0</v>
      </c>
      <c r="J124" s="93">
        <v>1364.8</v>
      </c>
      <c r="K124" s="93">
        <v>0.75</v>
      </c>
      <c r="L124" s="93">
        <v>1363.8</v>
      </c>
      <c r="M124" s="93">
        <v>0.0</v>
      </c>
      <c r="N124" s="93">
        <v>1.0</v>
      </c>
      <c r="O124" s="94">
        <f t="shared" si="10"/>
        <v>1</v>
      </c>
    </row>
    <row r="125">
      <c r="A125" s="89">
        <v>18.0</v>
      </c>
      <c r="B125" s="90" t="s">
        <v>457</v>
      </c>
      <c r="C125" s="90" t="s">
        <v>528</v>
      </c>
      <c r="D125" s="90" t="s">
        <v>526</v>
      </c>
      <c r="E125" s="91">
        <v>38556.0</v>
      </c>
      <c r="F125" s="90" t="s">
        <v>527</v>
      </c>
      <c r="G125" s="92">
        <v>5.0</v>
      </c>
      <c r="H125" s="93">
        <v>73670.0</v>
      </c>
      <c r="I125" s="93">
        <v>0.0</v>
      </c>
      <c r="J125" s="93">
        <v>73670.0</v>
      </c>
      <c r="K125" s="93">
        <v>40.37</v>
      </c>
      <c r="L125" s="93">
        <v>73669.0</v>
      </c>
      <c r="M125" s="93">
        <v>0.0</v>
      </c>
      <c r="N125" s="93">
        <v>1.0</v>
      </c>
      <c r="O125" s="94">
        <f t="shared" si="10"/>
        <v>1</v>
      </c>
    </row>
    <row r="126">
      <c r="A126" s="89">
        <v>19.0</v>
      </c>
      <c r="B126" s="90" t="s">
        <v>457</v>
      </c>
      <c r="C126" s="90" t="s">
        <v>529</v>
      </c>
      <c r="D126" s="90" t="s">
        <v>526</v>
      </c>
      <c r="E126" s="91">
        <v>41606.0</v>
      </c>
      <c r="F126" s="90" t="s">
        <v>527</v>
      </c>
      <c r="G126" s="92">
        <v>5.0</v>
      </c>
      <c r="H126" s="93">
        <v>49390.0</v>
      </c>
      <c r="I126" s="93">
        <v>0.0</v>
      </c>
      <c r="J126" s="93">
        <v>49390.0</v>
      </c>
      <c r="K126" s="93">
        <v>27.06</v>
      </c>
      <c r="L126" s="93">
        <v>49389.0</v>
      </c>
      <c r="M126" s="93">
        <v>0.0</v>
      </c>
      <c r="N126" s="93">
        <v>1.0</v>
      </c>
      <c r="O126" s="94">
        <f t="shared" si="10"/>
        <v>1</v>
      </c>
    </row>
    <row r="127">
      <c r="A127" s="89">
        <v>20.0</v>
      </c>
      <c r="B127" s="90" t="s">
        <v>476</v>
      </c>
      <c r="C127" s="90" t="s">
        <v>530</v>
      </c>
      <c r="D127" s="90" t="s">
        <v>526</v>
      </c>
      <c r="E127" s="91">
        <v>43671.0</v>
      </c>
      <c r="F127" s="90" t="s">
        <v>527</v>
      </c>
      <c r="G127" s="92">
        <v>5.0</v>
      </c>
      <c r="H127" s="93">
        <v>5897.0</v>
      </c>
      <c r="I127" s="93">
        <v>117.94</v>
      </c>
      <c r="J127" s="93">
        <v>5779.06</v>
      </c>
      <c r="K127" s="93">
        <v>3.17</v>
      </c>
      <c r="L127" s="93">
        <v>4969.68</v>
      </c>
      <c r="M127" s="93">
        <v>672.04</v>
      </c>
      <c r="N127" s="93">
        <v>137.34</v>
      </c>
      <c r="O127" s="94">
        <f t="shared" si="10"/>
        <v>255.28</v>
      </c>
    </row>
    <row r="128">
      <c r="A128" s="89">
        <v>21.0</v>
      </c>
      <c r="B128" s="90" t="s">
        <v>395</v>
      </c>
      <c r="C128" s="90" t="s">
        <v>531</v>
      </c>
      <c r="D128" s="90" t="s">
        <v>510</v>
      </c>
      <c r="E128" s="91">
        <v>40633.0</v>
      </c>
      <c r="F128" s="90" t="s">
        <v>532</v>
      </c>
      <c r="G128" s="92">
        <v>5.0</v>
      </c>
      <c r="H128" s="93">
        <v>6125.0</v>
      </c>
      <c r="I128" s="93">
        <v>0.0</v>
      </c>
      <c r="J128" s="93">
        <v>6125.0</v>
      </c>
      <c r="K128" s="93">
        <v>3.36</v>
      </c>
      <c r="L128" s="93">
        <v>6124.0</v>
      </c>
      <c r="M128" s="93">
        <v>0.0</v>
      </c>
      <c r="N128" s="93">
        <v>1.0</v>
      </c>
      <c r="O128" s="94">
        <f t="shared" si="10"/>
        <v>1</v>
      </c>
    </row>
    <row r="129">
      <c r="A129" s="89">
        <v>22.0</v>
      </c>
      <c r="B129" s="90" t="s">
        <v>448</v>
      </c>
      <c r="C129" s="90" t="s">
        <v>533</v>
      </c>
      <c r="D129" s="90" t="s">
        <v>534</v>
      </c>
      <c r="E129" s="91">
        <v>37032.0</v>
      </c>
      <c r="F129" s="90" t="s">
        <v>535</v>
      </c>
      <c r="G129" s="92">
        <v>5.0</v>
      </c>
      <c r="H129" s="93">
        <v>800.0</v>
      </c>
      <c r="I129" s="93">
        <v>0.0</v>
      </c>
      <c r="J129" s="93">
        <v>800.0</v>
      </c>
      <c r="K129" s="93">
        <v>0.44</v>
      </c>
      <c r="L129" s="93">
        <v>799.0</v>
      </c>
      <c r="M129" s="93">
        <v>0.0</v>
      </c>
      <c r="N129" s="93">
        <v>1.0</v>
      </c>
      <c r="O129" s="94">
        <f t="shared" si="10"/>
        <v>1</v>
      </c>
    </row>
    <row r="130">
      <c r="A130" s="89">
        <v>23.0</v>
      </c>
      <c r="B130" s="90" t="s">
        <v>410</v>
      </c>
      <c r="C130" s="90" t="s">
        <v>536</v>
      </c>
      <c r="D130" s="90" t="s">
        <v>534</v>
      </c>
      <c r="E130" s="91">
        <v>43202.0</v>
      </c>
      <c r="F130" s="90" t="s">
        <v>535</v>
      </c>
      <c r="G130" s="92">
        <v>5.0</v>
      </c>
      <c r="H130" s="93">
        <v>1499.0</v>
      </c>
      <c r="I130" s="93">
        <v>29.98</v>
      </c>
      <c r="J130" s="93">
        <v>1469.02</v>
      </c>
      <c r="K130" s="93">
        <v>0.81</v>
      </c>
      <c r="L130" s="93">
        <v>1282.03</v>
      </c>
      <c r="M130" s="93">
        <v>171.72</v>
      </c>
      <c r="N130" s="93">
        <v>15.27</v>
      </c>
      <c r="O130" s="94">
        <f t="shared" si="10"/>
        <v>45.25</v>
      </c>
    </row>
    <row r="131">
      <c r="A131" s="89">
        <v>24.0</v>
      </c>
      <c r="B131" s="90" t="s">
        <v>413</v>
      </c>
      <c r="C131" s="90" t="s">
        <v>537</v>
      </c>
      <c r="D131" s="90" t="s">
        <v>538</v>
      </c>
      <c r="E131" s="91">
        <v>29221.0</v>
      </c>
      <c r="F131" s="90" t="s">
        <v>539</v>
      </c>
      <c r="G131" s="92">
        <v>5.0</v>
      </c>
      <c r="H131" s="93">
        <v>419.0</v>
      </c>
      <c r="I131" s="93">
        <v>0.0</v>
      </c>
      <c r="J131" s="93">
        <v>419.0</v>
      </c>
      <c r="K131" s="93">
        <v>0.23</v>
      </c>
      <c r="L131" s="93">
        <v>418.0</v>
      </c>
      <c r="M131" s="93">
        <v>0.0</v>
      </c>
      <c r="N131" s="93">
        <v>1.0</v>
      </c>
      <c r="O131" s="94">
        <f t="shared" si="10"/>
        <v>1</v>
      </c>
    </row>
    <row r="132">
      <c r="A132" s="89">
        <v>25.0</v>
      </c>
      <c r="B132" s="90" t="s">
        <v>250</v>
      </c>
      <c r="C132" s="90" t="s">
        <v>540</v>
      </c>
      <c r="D132" s="90" t="s">
        <v>538</v>
      </c>
      <c r="E132" s="91">
        <v>40460.0</v>
      </c>
      <c r="F132" s="90" t="s">
        <v>539</v>
      </c>
      <c r="G132" s="92">
        <v>5.0</v>
      </c>
      <c r="H132" s="93">
        <v>15900.0</v>
      </c>
      <c r="I132" s="93">
        <v>0.0</v>
      </c>
      <c r="J132" s="93">
        <v>15900.0</v>
      </c>
      <c r="K132" s="93">
        <v>8.71</v>
      </c>
      <c r="L132" s="93">
        <v>15899.0</v>
      </c>
      <c r="M132" s="93">
        <v>0.0</v>
      </c>
      <c r="N132" s="93">
        <v>1.0</v>
      </c>
      <c r="O132" s="94">
        <f t="shared" si="10"/>
        <v>1</v>
      </c>
    </row>
    <row r="133">
      <c r="A133" s="89">
        <v>26.0</v>
      </c>
      <c r="B133" s="90" t="s">
        <v>413</v>
      </c>
      <c r="C133" s="90" t="s">
        <v>541</v>
      </c>
      <c r="D133" s="90" t="s">
        <v>538</v>
      </c>
      <c r="E133" s="91">
        <v>41036.0</v>
      </c>
      <c r="F133" s="90" t="s">
        <v>539</v>
      </c>
      <c r="G133" s="92">
        <v>5.0</v>
      </c>
      <c r="H133" s="93">
        <v>9949.0</v>
      </c>
      <c r="I133" s="93">
        <v>0.0</v>
      </c>
      <c r="J133" s="93">
        <v>9949.0</v>
      </c>
      <c r="K133" s="93">
        <v>5.45</v>
      </c>
      <c r="L133" s="93">
        <v>9948.0</v>
      </c>
      <c r="M133" s="93">
        <v>0.0</v>
      </c>
      <c r="N133" s="93">
        <v>1.0</v>
      </c>
      <c r="O133" s="94">
        <f t="shared" si="10"/>
        <v>1</v>
      </c>
    </row>
    <row r="134">
      <c r="A134" s="89">
        <v>27.0</v>
      </c>
      <c r="B134" s="90" t="s">
        <v>425</v>
      </c>
      <c r="C134" s="90" t="s">
        <v>542</v>
      </c>
      <c r="D134" s="90" t="s">
        <v>538</v>
      </c>
      <c r="E134" s="91">
        <v>42177.0</v>
      </c>
      <c r="F134" s="90" t="s">
        <v>539</v>
      </c>
      <c r="G134" s="92">
        <v>5.0</v>
      </c>
      <c r="H134" s="93">
        <v>12960.0</v>
      </c>
      <c r="I134" s="93">
        <v>259.2</v>
      </c>
      <c r="J134" s="93">
        <v>12700.8</v>
      </c>
      <c r="K134" s="93">
        <v>6.96</v>
      </c>
      <c r="L134" s="93">
        <v>12699.8</v>
      </c>
      <c r="M134" s="93">
        <v>0.0</v>
      </c>
      <c r="N134" s="93">
        <v>1.0</v>
      </c>
      <c r="O134" s="94">
        <f t="shared" si="10"/>
        <v>260.2</v>
      </c>
    </row>
    <row r="135">
      <c r="A135" s="89">
        <v>28.0</v>
      </c>
      <c r="B135" s="90" t="s">
        <v>410</v>
      </c>
      <c r="C135" s="90" t="s">
        <v>543</v>
      </c>
      <c r="D135" s="90" t="s">
        <v>538</v>
      </c>
      <c r="E135" s="91">
        <v>43202.0</v>
      </c>
      <c r="F135" s="90" t="s">
        <v>539</v>
      </c>
      <c r="G135" s="92">
        <v>5.0</v>
      </c>
      <c r="H135" s="93">
        <v>1499.0</v>
      </c>
      <c r="I135" s="93">
        <v>29.98</v>
      </c>
      <c r="J135" s="93">
        <v>1469.02</v>
      </c>
      <c r="K135" s="93">
        <v>0.81</v>
      </c>
      <c r="L135" s="93">
        <v>1282.03</v>
      </c>
      <c r="M135" s="93">
        <v>171.72</v>
      </c>
      <c r="N135" s="93">
        <v>15.27</v>
      </c>
      <c r="O135" s="94">
        <f t="shared" si="10"/>
        <v>45.25</v>
      </c>
    </row>
    <row r="136">
      <c r="A136" s="82"/>
      <c r="B136" s="83"/>
      <c r="C136" s="84"/>
      <c r="D136" s="84"/>
      <c r="E136" s="85"/>
      <c r="F136" s="84"/>
      <c r="G136" s="86"/>
      <c r="H136" s="82"/>
      <c r="I136" s="82"/>
      <c r="J136" s="82"/>
      <c r="K136" s="82"/>
      <c r="L136" s="82"/>
      <c r="M136" s="82"/>
      <c r="N136" s="82"/>
      <c r="O136" s="87"/>
    </row>
    <row r="137">
      <c r="A137" s="82"/>
      <c r="B137" s="83"/>
      <c r="C137" s="84"/>
      <c r="D137" s="84"/>
      <c r="E137" s="85"/>
      <c r="F137" s="84"/>
      <c r="G137" s="86"/>
      <c r="H137" s="82"/>
      <c r="I137" s="82"/>
      <c r="J137" s="82"/>
      <c r="K137" s="82"/>
      <c r="L137" s="82"/>
      <c r="M137" s="82"/>
      <c r="N137" s="82"/>
      <c r="O137" s="87"/>
    </row>
    <row r="138">
      <c r="A138" s="95" t="s">
        <v>544</v>
      </c>
      <c r="B138" s="18"/>
      <c r="C138" s="18"/>
      <c r="D138" s="18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100"/>
    </row>
    <row r="139">
      <c r="A139" s="88" t="s">
        <v>545</v>
      </c>
      <c r="B139" s="18"/>
      <c r="C139" s="18"/>
      <c r="D139" s="4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9"/>
    </row>
    <row r="140">
      <c r="A140" s="89">
        <v>1.0</v>
      </c>
      <c r="B140" s="90" t="s">
        <v>413</v>
      </c>
      <c r="C140" s="90" t="s">
        <v>546</v>
      </c>
      <c r="D140" s="90" t="s">
        <v>547</v>
      </c>
      <c r="E140" s="91">
        <v>33970.0</v>
      </c>
      <c r="F140" s="90" t="s">
        <v>548</v>
      </c>
      <c r="G140" s="92">
        <v>5.0</v>
      </c>
      <c r="H140" s="93">
        <v>1364.8</v>
      </c>
      <c r="I140" s="93">
        <v>0.0</v>
      </c>
      <c r="J140" s="93">
        <v>1364.8</v>
      </c>
      <c r="K140" s="93">
        <v>0.75</v>
      </c>
      <c r="L140" s="93">
        <v>1363.8</v>
      </c>
      <c r="M140" s="93">
        <v>0.0</v>
      </c>
      <c r="N140" s="93">
        <v>1.0</v>
      </c>
      <c r="O140" s="94">
        <f t="shared" ref="O140:O173" si="11">I140+N140</f>
        <v>1</v>
      </c>
    </row>
    <row r="141">
      <c r="A141" s="89">
        <v>2.0</v>
      </c>
      <c r="B141" s="90" t="s">
        <v>549</v>
      </c>
      <c r="C141" s="90" t="s">
        <v>550</v>
      </c>
      <c r="D141" s="90" t="s">
        <v>547</v>
      </c>
      <c r="E141" s="91">
        <v>42621.0</v>
      </c>
      <c r="F141" s="90" t="s">
        <v>548</v>
      </c>
      <c r="G141" s="92">
        <v>5.0</v>
      </c>
      <c r="H141" s="93">
        <v>38790.0</v>
      </c>
      <c r="I141" s="93">
        <v>775.8</v>
      </c>
      <c r="J141" s="93">
        <v>38014.2</v>
      </c>
      <c r="K141" s="93">
        <v>20.83</v>
      </c>
      <c r="L141" s="93">
        <v>38013.2</v>
      </c>
      <c r="M141" s="93">
        <v>0.0</v>
      </c>
      <c r="N141" s="93">
        <v>1.0</v>
      </c>
      <c r="O141" s="94">
        <f t="shared" si="11"/>
        <v>776.8</v>
      </c>
    </row>
    <row r="142">
      <c r="A142" s="89">
        <v>3.0</v>
      </c>
      <c r="B142" s="90" t="s">
        <v>358</v>
      </c>
      <c r="C142" s="90" t="s">
        <v>551</v>
      </c>
      <c r="D142" s="90" t="s">
        <v>547</v>
      </c>
      <c r="E142" s="91">
        <v>42626.0</v>
      </c>
      <c r="F142" s="90" t="s">
        <v>548</v>
      </c>
      <c r="G142" s="92">
        <v>5.0</v>
      </c>
      <c r="H142" s="93">
        <v>4990.0</v>
      </c>
      <c r="I142" s="93">
        <v>99.8</v>
      </c>
      <c r="J142" s="93">
        <v>4890.2</v>
      </c>
      <c r="K142" s="93">
        <v>2.68</v>
      </c>
      <c r="L142" s="93">
        <v>4889.2</v>
      </c>
      <c r="M142" s="93">
        <v>0.0</v>
      </c>
      <c r="N142" s="93">
        <v>1.0</v>
      </c>
      <c r="O142" s="94">
        <f t="shared" si="11"/>
        <v>100.8</v>
      </c>
    </row>
    <row r="143">
      <c r="A143" s="89">
        <v>4.0</v>
      </c>
      <c r="B143" s="90" t="s">
        <v>429</v>
      </c>
      <c r="C143" s="90" t="s">
        <v>552</v>
      </c>
      <c r="D143" s="90" t="s">
        <v>547</v>
      </c>
      <c r="E143" s="91">
        <v>43328.0</v>
      </c>
      <c r="F143" s="90" t="s">
        <v>548</v>
      </c>
      <c r="G143" s="92">
        <v>5.0</v>
      </c>
      <c r="H143" s="93">
        <v>42000.0</v>
      </c>
      <c r="I143" s="93">
        <v>840.0</v>
      </c>
      <c r="J143" s="93">
        <v>41160.0</v>
      </c>
      <c r="K143" s="93">
        <v>22.55</v>
      </c>
      <c r="L143" s="93">
        <v>37765.19</v>
      </c>
      <c r="M143" s="93">
        <v>3393.81</v>
      </c>
      <c r="N143" s="93">
        <v>1.0</v>
      </c>
      <c r="O143" s="94">
        <f t="shared" si="11"/>
        <v>841</v>
      </c>
    </row>
    <row r="144">
      <c r="A144" s="89">
        <v>5.0</v>
      </c>
      <c r="B144" s="90" t="s">
        <v>553</v>
      </c>
      <c r="C144" s="90" t="s">
        <v>554</v>
      </c>
      <c r="D144" s="90" t="s">
        <v>547</v>
      </c>
      <c r="E144" s="91">
        <v>43459.0</v>
      </c>
      <c r="F144" s="90" t="s">
        <v>548</v>
      </c>
      <c r="G144" s="92">
        <v>5.0</v>
      </c>
      <c r="H144" s="93">
        <v>5400.0</v>
      </c>
      <c r="I144" s="93">
        <v>108.0</v>
      </c>
      <c r="J144" s="93">
        <v>5292.0</v>
      </c>
      <c r="K144" s="93">
        <v>2.9</v>
      </c>
      <c r="L144" s="93">
        <v>4565.32</v>
      </c>
      <c r="M144" s="93">
        <v>614.8</v>
      </c>
      <c r="N144" s="93">
        <v>111.88</v>
      </c>
      <c r="O144" s="94">
        <f t="shared" si="11"/>
        <v>219.88</v>
      </c>
    </row>
    <row r="145">
      <c r="A145" s="89">
        <v>6.0</v>
      </c>
      <c r="B145" s="90" t="s">
        <v>457</v>
      </c>
      <c r="C145" s="90" t="s">
        <v>555</v>
      </c>
      <c r="D145" s="90" t="s">
        <v>547</v>
      </c>
      <c r="E145" s="91">
        <v>43671.0</v>
      </c>
      <c r="F145" s="90" t="s">
        <v>548</v>
      </c>
      <c r="G145" s="92">
        <v>5.0</v>
      </c>
      <c r="H145" s="93">
        <v>39000.0</v>
      </c>
      <c r="I145" s="93">
        <v>780.0</v>
      </c>
      <c r="J145" s="93">
        <v>38220.0</v>
      </c>
      <c r="K145" s="93">
        <v>20.94</v>
      </c>
      <c r="L145" s="93">
        <v>32858.04</v>
      </c>
      <c r="M145" s="93">
        <v>4439.28</v>
      </c>
      <c r="N145" s="93">
        <v>922.68</v>
      </c>
      <c r="O145" s="94">
        <f t="shared" si="11"/>
        <v>1702.68</v>
      </c>
    </row>
    <row r="146">
      <c r="A146" s="89">
        <v>7.0</v>
      </c>
      <c r="B146" s="90" t="s">
        <v>476</v>
      </c>
      <c r="C146" s="90" t="s">
        <v>556</v>
      </c>
      <c r="D146" s="90" t="s">
        <v>547</v>
      </c>
      <c r="E146" s="91">
        <v>43671.0</v>
      </c>
      <c r="F146" s="90" t="s">
        <v>557</v>
      </c>
      <c r="G146" s="92">
        <v>5.0</v>
      </c>
      <c r="H146" s="93">
        <v>5897.0</v>
      </c>
      <c r="I146" s="93">
        <v>117.94</v>
      </c>
      <c r="J146" s="93">
        <v>5779.06</v>
      </c>
      <c r="K146" s="93">
        <v>3.17</v>
      </c>
      <c r="L146" s="93">
        <v>4969.68</v>
      </c>
      <c r="M146" s="93">
        <v>672.04</v>
      </c>
      <c r="N146" s="93">
        <v>137.34</v>
      </c>
      <c r="O146" s="94">
        <f t="shared" si="11"/>
        <v>255.28</v>
      </c>
    </row>
    <row r="147">
      <c r="A147" s="89">
        <v>8.0</v>
      </c>
      <c r="B147" s="90" t="s">
        <v>448</v>
      </c>
      <c r="C147" s="90" t="s">
        <v>558</v>
      </c>
      <c r="D147" s="90" t="s">
        <v>559</v>
      </c>
      <c r="E147" s="91">
        <v>36939.0</v>
      </c>
      <c r="F147" s="90" t="s">
        <v>560</v>
      </c>
      <c r="G147" s="92">
        <v>5.0</v>
      </c>
      <c r="H147" s="93">
        <v>800.0</v>
      </c>
      <c r="I147" s="93">
        <v>0.0</v>
      </c>
      <c r="J147" s="93">
        <v>800.0</v>
      </c>
      <c r="K147" s="93">
        <v>0.44</v>
      </c>
      <c r="L147" s="93">
        <v>799.0</v>
      </c>
      <c r="M147" s="93">
        <v>0.0</v>
      </c>
      <c r="N147" s="93">
        <v>1.0</v>
      </c>
      <c r="O147" s="94">
        <f t="shared" si="11"/>
        <v>1</v>
      </c>
    </row>
    <row r="148">
      <c r="A148" s="89">
        <v>9.0</v>
      </c>
      <c r="B148" s="90" t="s">
        <v>448</v>
      </c>
      <c r="C148" s="90" t="s">
        <v>561</v>
      </c>
      <c r="D148" s="90" t="s">
        <v>559</v>
      </c>
      <c r="E148" s="91">
        <v>39998.0</v>
      </c>
      <c r="F148" s="90" t="s">
        <v>560</v>
      </c>
      <c r="G148" s="92">
        <v>5.0</v>
      </c>
      <c r="H148" s="93">
        <v>550.0</v>
      </c>
      <c r="I148" s="93">
        <v>0.0</v>
      </c>
      <c r="J148" s="93">
        <v>550.0</v>
      </c>
      <c r="K148" s="93">
        <v>0.3</v>
      </c>
      <c r="L148" s="93">
        <v>549.0</v>
      </c>
      <c r="M148" s="93">
        <v>0.0</v>
      </c>
      <c r="N148" s="93">
        <v>1.0</v>
      </c>
      <c r="O148" s="94">
        <f t="shared" si="11"/>
        <v>1</v>
      </c>
    </row>
    <row r="149">
      <c r="A149" s="89">
        <v>10.0</v>
      </c>
      <c r="B149" s="90" t="s">
        <v>562</v>
      </c>
      <c r="C149" s="90" t="s">
        <v>563</v>
      </c>
      <c r="D149" s="90" t="s">
        <v>559</v>
      </c>
      <c r="E149" s="91">
        <v>43443.0</v>
      </c>
      <c r="F149" s="90" t="s">
        <v>560</v>
      </c>
      <c r="G149" s="92">
        <v>5.0</v>
      </c>
      <c r="H149" s="93">
        <v>8490.0</v>
      </c>
      <c r="I149" s="93">
        <v>169.8</v>
      </c>
      <c r="J149" s="93">
        <v>8320.2</v>
      </c>
      <c r="K149" s="93">
        <v>4.56</v>
      </c>
      <c r="L149" s="93">
        <v>7540.42</v>
      </c>
      <c r="M149" s="93">
        <v>778.78</v>
      </c>
      <c r="N149" s="93">
        <v>1.0</v>
      </c>
      <c r="O149" s="94">
        <f t="shared" si="11"/>
        <v>170.8</v>
      </c>
    </row>
    <row r="150">
      <c r="A150" s="89">
        <v>11.0</v>
      </c>
      <c r="B150" s="90" t="s">
        <v>395</v>
      </c>
      <c r="C150" s="90" t="s">
        <v>564</v>
      </c>
      <c r="D150" s="90" t="s">
        <v>559</v>
      </c>
      <c r="E150" s="91">
        <v>40160.0</v>
      </c>
      <c r="F150" s="90" t="s">
        <v>560</v>
      </c>
      <c r="G150" s="92">
        <v>5.0</v>
      </c>
      <c r="H150" s="93">
        <v>8800.0</v>
      </c>
      <c r="I150" s="93">
        <v>0.0</v>
      </c>
      <c r="J150" s="93">
        <v>8800.0</v>
      </c>
      <c r="K150" s="93">
        <v>4.82</v>
      </c>
      <c r="L150" s="93">
        <v>8799.0</v>
      </c>
      <c r="M150" s="93">
        <v>0.0</v>
      </c>
      <c r="N150" s="93">
        <v>1.0</v>
      </c>
      <c r="O150" s="94">
        <f t="shared" si="11"/>
        <v>1</v>
      </c>
    </row>
    <row r="151">
      <c r="A151" s="89">
        <v>12.0</v>
      </c>
      <c r="B151" s="90" t="s">
        <v>429</v>
      </c>
      <c r="C151" s="90" t="s">
        <v>565</v>
      </c>
      <c r="D151" s="90" t="s">
        <v>566</v>
      </c>
      <c r="E151" s="91">
        <v>43327.0</v>
      </c>
      <c r="F151" s="90" t="s">
        <v>567</v>
      </c>
      <c r="G151" s="92">
        <v>5.0</v>
      </c>
      <c r="H151" s="93">
        <v>42000.0</v>
      </c>
      <c r="I151" s="93">
        <v>840.0</v>
      </c>
      <c r="J151" s="93">
        <v>41160.0</v>
      </c>
      <c r="K151" s="93">
        <v>22.55</v>
      </c>
      <c r="L151" s="93">
        <v>37782.44</v>
      </c>
      <c r="M151" s="93">
        <v>3376.56</v>
      </c>
      <c r="N151" s="93">
        <v>1.0</v>
      </c>
      <c r="O151" s="94">
        <f t="shared" si="11"/>
        <v>841</v>
      </c>
    </row>
    <row r="152">
      <c r="A152" s="89">
        <v>13.0</v>
      </c>
      <c r="B152" s="90" t="s">
        <v>523</v>
      </c>
      <c r="C152" s="90" t="s">
        <v>568</v>
      </c>
      <c r="D152" s="90" t="s">
        <v>566</v>
      </c>
      <c r="E152" s="91">
        <v>44842.0</v>
      </c>
      <c r="F152" s="90" t="s">
        <v>567</v>
      </c>
      <c r="G152" s="92">
        <v>5.0</v>
      </c>
      <c r="H152" s="93">
        <v>5890.0</v>
      </c>
      <c r="I152" s="93">
        <v>117.8</v>
      </c>
      <c r="J152" s="93">
        <v>5772.2</v>
      </c>
      <c r="K152" s="93">
        <v>3.16</v>
      </c>
      <c r="L152" s="93">
        <v>2659.56</v>
      </c>
      <c r="M152" s="93">
        <v>669.92</v>
      </c>
      <c r="N152" s="93">
        <v>2442.72</v>
      </c>
      <c r="O152" s="94">
        <f t="shared" si="11"/>
        <v>2560.52</v>
      </c>
    </row>
    <row r="153">
      <c r="A153" s="89">
        <v>14.0</v>
      </c>
      <c r="B153" s="90" t="s">
        <v>448</v>
      </c>
      <c r="C153" s="90" t="s">
        <v>569</v>
      </c>
      <c r="D153" s="90" t="s">
        <v>570</v>
      </c>
      <c r="E153" s="91">
        <v>38437.0</v>
      </c>
      <c r="F153" s="90" t="s">
        <v>571</v>
      </c>
      <c r="G153" s="92">
        <v>5.0</v>
      </c>
      <c r="H153" s="93">
        <v>1295.0</v>
      </c>
      <c r="I153" s="93">
        <v>0.0</v>
      </c>
      <c r="J153" s="93">
        <v>1295.0</v>
      </c>
      <c r="K153" s="93">
        <v>0.71</v>
      </c>
      <c r="L153" s="93">
        <v>1294.0</v>
      </c>
      <c r="M153" s="93">
        <v>0.0</v>
      </c>
      <c r="N153" s="93">
        <v>1.0</v>
      </c>
      <c r="O153" s="94">
        <f t="shared" si="11"/>
        <v>1</v>
      </c>
    </row>
    <row r="154">
      <c r="A154" s="89">
        <v>15.0</v>
      </c>
      <c r="B154" s="90" t="s">
        <v>425</v>
      </c>
      <c r="C154" s="90" t="s">
        <v>572</v>
      </c>
      <c r="D154" s="90" t="s">
        <v>570</v>
      </c>
      <c r="E154" s="91">
        <v>42177.0</v>
      </c>
      <c r="F154" s="90" t="s">
        <v>571</v>
      </c>
      <c r="G154" s="92">
        <v>5.0</v>
      </c>
      <c r="H154" s="93">
        <v>12960.0</v>
      </c>
      <c r="I154" s="93">
        <v>0.0</v>
      </c>
      <c r="J154" s="93">
        <v>12960.0</v>
      </c>
      <c r="K154" s="93">
        <v>7.1</v>
      </c>
      <c r="L154" s="93">
        <v>12959.0</v>
      </c>
      <c r="M154" s="93">
        <v>0.0</v>
      </c>
      <c r="N154" s="93">
        <v>1.0</v>
      </c>
      <c r="O154" s="94">
        <f t="shared" si="11"/>
        <v>1</v>
      </c>
    </row>
    <row r="155">
      <c r="A155" s="89">
        <v>16.0</v>
      </c>
      <c r="B155" s="90" t="s">
        <v>429</v>
      </c>
      <c r="C155" s="90" t="s">
        <v>573</v>
      </c>
      <c r="D155" s="90" t="s">
        <v>547</v>
      </c>
      <c r="E155" s="91">
        <v>43333.0</v>
      </c>
      <c r="F155" s="90" t="s">
        <v>574</v>
      </c>
      <c r="G155" s="92">
        <v>5.0</v>
      </c>
      <c r="H155" s="93">
        <v>42000.0</v>
      </c>
      <c r="I155" s="93">
        <v>840.0</v>
      </c>
      <c r="J155" s="93">
        <v>41160.0</v>
      </c>
      <c r="K155" s="93">
        <v>22.55</v>
      </c>
      <c r="L155" s="93">
        <v>37678.97</v>
      </c>
      <c r="M155" s="93">
        <v>3480.03</v>
      </c>
      <c r="N155" s="93">
        <v>1.0</v>
      </c>
      <c r="O155" s="94">
        <f t="shared" si="11"/>
        <v>841</v>
      </c>
    </row>
    <row r="156">
      <c r="A156" s="89">
        <v>17.0</v>
      </c>
      <c r="B156" s="90" t="s">
        <v>410</v>
      </c>
      <c r="C156" s="90" t="s">
        <v>575</v>
      </c>
      <c r="D156" s="90" t="s">
        <v>570</v>
      </c>
      <c r="E156" s="91">
        <v>43202.0</v>
      </c>
      <c r="F156" s="90" t="s">
        <v>571</v>
      </c>
      <c r="G156" s="92">
        <v>5.0</v>
      </c>
      <c r="H156" s="93">
        <v>1499.0</v>
      </c>
      <c r="I156" s="93">
        <v>29.98</v>
      </c>
      <c r="J156" s="93">
        <v>1469.02</v>
      </c>
      <c r="K156" s="93">
        <v>0.81</v>
      </c>
      <c r="L156" s="93">
        <v>1282.03</v>
      </c>
      <c r="M156" s="93">
        <v>171.72</v>
      </c>
      <c r="N156" s="93">
        <v>15.27</v>
      </c>
      <c r="O156" s="94">
        <f t="shared" si="11"/>
        <v>45.25</v>
      </c>
    </row>
    <row r="157">
      <c r="A157" s="89">
        <v>18.0</v>
      </c>
      <c r="B157" s="90" t="s">
        <v>385</v>
      </c>
      <c r="C157" s="90" t="s">
        <v>576</v>
      </c>
      <c r="D157" s="90" t="s">
        <v>570</v>
      </c>
      <c r="E157" s="91">
        <v>42602.0</v>
      </c>
      <c r="F157" s="90" t="s">
        <v>571</v>
      </c>
      <c r="G157" s="92">
        <v>5.0</v>
      </c>
      <c r="H157" s="93">
        <v>7900.0</v>
      </c>
      <c r="I157" s="93">
        <v>109.02</v>
      </c>
      <c r="J157" s="93">
        <v>7790.98</v>
      </c>
      <c r="K157" s="93">
        <v>4.27</v>
      </c>
      <c r="L157" s="93">
        <v>7789.98</v>
      </c>
      <c r="M157" s="93">
        <v>0.0</v>
      </c>
      <c r="N157" s="93">
        <v>1.0</v>
      </c>
      <c r="O157" s="94">
        <f t="shared" si="11"/>
        <v>110.02</v>
      </c>
    </row>
    <row r="158">
      <c r="A158" s="89">
        <v>19.0</v>
      </c>
      <c r="B158" s="90" t="s">
        <v>395</v>
      </c>
      <c r="C158" s="90" t="s">
        <v>577</v>
      </c>
      <c r="D158" s="90" t="s">
        <v>208</v>
      </c>
      <c r="E158" s="91">
        <v>43229.0</v>
      </c>
      <c r="F158" s="90" t="s">
        <v>400</v>
      </c>
      <c r="G158" s="92">
        <v>5.0</v>
      </c>
      <c r="H158" s="93">
        <v>2990.0</v>
      </c>
      <c r="I158" s="93">
        <v>59.8</v>
      </c>
      <c r="J158" s="93">
        <v>2930.2</v>
      </c>
      <c r="K158" s="93">
        <v>1.61</v>
      </c>
      <c r="L158" s="93">
        <v>2665.63</v>
      </c>
      <c r="M158" s="93">
        <v>263.57</v>
      </c>
      <c r="N158" s="93">
        <v>1.0</v>
      </c>
      <c r="O158" s="94">
        <f t="shared" si="11"/>
        <v>60.8</v>
      </c>
    </row>
    <row r="159">
      <c r="A159" s="89">
        <v>20.0</v>
      </c>
      <c r="B159" s="90" t="s">
        <v>440</v>
      </c>
      <c r="C159" s="90" t="s">
        <v>578</v>
      </c>
      <c r="D159" s="90" t="s">
        <v>579</v>
      </c>
      <c r="E159" s="91">
        <v>43664.0</v>
      </c>
      <c r="F159" s="90" t="s">
        <v>580</v>
      </c>
      <c r="G159" s="92">
        <v>5.0</v>
      </c>
      <c r="H159" s="93">
        <v>4890.0</v>
      </c>
      <c r="I159" s="93">
        <v>97.8</v>
      </c>
      <c r="J159" s="93">
        <v>4792.2</v>
      </c>
      <c r="K159" s="93">
        <v>2.63</v>
      </c>
      <c r="L159" s="93">
        <v>4121.52</v>
      </c>
      <c r="M159" s="93">
        <v>557.56</v>
      </c>
      <c r="N159" s="93">
        <v>113.12</v>
      </c>
      <c r="O159" s="94">
        <f t="shared" si="11"/>
        <v>210.92</v>
      </c>
    </row>
    <row r="160">
      <c r="A160" s="89">
        <v>21.0</v>
      </c>
      <c r="B160" s="90" t="s">
        <v>358</v>
      </c>
      <c r="C160" s="90" t="s">
        <v>581</v>
      </c>
      <c r="D160" s="90" t="s">
        <v>582</v>
      </c>
      <c r="E160" s="91">
        <v>42626.0</v>
      </c>
      <c r="F160" s="90" t="s">
        <v>583</v>
      </c>
      <c r="G160" s="92">
        <v>5.0</v>
      </c>
      <c r="H160" s="93">
        <v>4990.0</v>
      </c>
      <c r="I160" s="93">
        <v>29.36</v>
      </c>
      <c r="J160" s="93">
        <v>4960.64</v>
      </c>
      <c r="K160" s="93">
        <v>2.72</v>
      </c>
      <c r="L160" s="93">
        <v>4959.64</v>
      </c>
      <c r="M160" s="93">
        <v>0.0</v>
      </c>
      <c r="N160" s="93">
        <v>1.0</v>
      </c>
      <c r="O160" s="94">
        <f t="shared" si="11"/>
        <v>30.36</v>
      </c>
    </row>
    <row r="161">
      <c r="A161" s="89">
        <v>22.0</v>
      </c>
      <c r="B161" s="90" t="s">
        <v>410</v>
      </c>
      <c r="C161" s="90" t="s">
        <v>584</v>
      </c>
      <c r="D161" s="90" t="s">
        <v>582</v>
      </c>
      <c r="E161" s="91">
        <v>43202.0</v>
      </c>
      <c r="F161" s="90" t="s">
        <v>583</v>
      </c>
      <c r="G161" s="92">
        <v>5.0</v>
      </c>
      <c r="H161" s="93">
        <v>1499.0</v>
      </c>
      <c r="I161" s="93">
        <v>29.98</v>
      </c>
      <c r="J161" s="93">
        <v>1469.02</v>
      </c>
      <c r="K161" s="93">
        <v>0.81</v>
      </c>
      <c r="L161" s="93">
        <v>1282.03</v>
      </c>
      <c r="M161" s="93">
        <v>171.72</v>
      </c>
      <c r="N161" s="93">
        <v>15.27</v>
      </c>
      <c r="O161" s="94">
        <f t="shared" si="11"/>
        <v>45.25</v>
      </c>
    </row>
    <row r="162">
      <c r="A162" s="89">
        <v>23.0</v>
      </c>
      <c r="B162" s="90" t="s">
        <v>410</v>
      </c>
      <c r="C162" s="90" t="s">
        <v>585</v>
      </c>
      <c r="D162" s="90" t="s">
        <v>582</v>
      </c>
      <c r="E162" s="91">
        <v>43202.0</v>
      </c>
      <c r="F162" s="90" t="s">
        <v>583</v>
      </c>
      <c r="G162" s="92">
        <v>5.0</v>
      </c>
      <c r="H162" s="93">
        <v>1499.0</v>
      </c>
      <c r="I162" s="93">
        <v>29.98</v>
      </c>
      <c r="J162" s="93">
        <v>1469.02</v>
      </c>
      <c r="K162" s="93">
        <v>0.81</v>
      </c>
      <c r="L162" s="93">
        <v>1282.03</v>
      </c>
      <c r="M162" s="93">
        <v>171.72</v>
      </c>
      <c r="N162" s="93">
        <v>15.27</v>
      </c>
      <c r="O162" s="94">
        <f t="shared" si="11"/>
        <v>45.25</v>
      </c>
    </row>
    <row r="163">
      <c r="A163" s="89">
        <v>24.0</v>
      </c>
      <c r="B163" s="90" t="s">
        <v>448</v>
      </c>
      <c r="C163" s="90" t="s">
        <v>586</v>
      </c>
      <c r="D163" s="90" t="s">
        <v>305</v>
      </c>
      <c r="E163" s="91">
        <v>36629.0</v>
      </c>
      <c r="F163" s="90" t="s">
        <v>587</v>
      </c>
      <c r="G163" s="92">
        <v>5.0</v>
      </c>
      <c r="H163" s="93">
        <v>850.0</v>
      </c>
      <c r="I163" s="93">
        <v>0.0</v>
      </c>
      <c r="J163" s="93">
        <v>850.0</v>
      </c>
      <c r="K163" s="93">
        <v>0.47</v>
      </c>
      <c r="L163" s="93">
        <v>849.0</v>
      </c>
      <c r="M163" s="93">
        <v>0.0</v>
      </c>
      <c r="N163" s="93">
        <v>1.0</v>
      </c>
      <c r="O163" s="94">
        <f t="shared" si="11"/>
        <v>1</v>
      </c>
    </row>
    <row r="164">
      <c r="A164" s="89">
        <v>25.0</v>
      </c>
      <c r="B164" s="90" t="s">
        <v>413</v>
      </c>
      <c r="C164" s="90" t="s">
        <v>588</v>
      </c>
      <c r="D164" s="90" t="s">
        <v>589</v>
      </c>
      <c r="E164" s="91">
        <v>42222.0</v>
      </c>
      <c r="F164" s="90" t="s">
        <v>590</v>
      </c>
      <c r="G164" s="92">
        <v>5.0</v>
      </c>
      <c r="H164" s="93">
        <v>9950.0</v>
      </c>
      <c r="I164" s="93">
        <v>148.82</v>
      </c>
      <c r="J164" s="93">
        <v>9801.18</v>
      </c>
      <c r="K164" s="93">
        <v>5.37</v>
      </c>
      <c r="L164" s="93">
        <v>9800.18</v>
      </c>
      <c r="M164" s="93">
        <v>0.0</v>
      </c>
      <c r="N164" s="93">
        <v>1.0</v>
      </c>
      <c r="O164" s="94">
        <f t="shared" si="11"/>
        <v>149.82</v>
      </c>
    </row>
    <row r="165">
      <c r="A165" s="89">
        <v>26.0</v>
      </c>
      <c r="B165" s="90" t="s">
        <v>358</v>
      </c>
      <c r="C165" s="90" t="s">
        <v>591</v>
      </c>
      <c r="D165" s="90" t="s">
        <v>589</v>
      </c>
      <c r="E165" s="91">
        <v>42626.0</v>
      </c>
      <c r="F165" s="90" t="s">
        <v>590</v>
      </c>
      <c r="G165" s="92">
        <v>5.0</v>
      </c>
      <c r="H165" s="93">
        <v>4990.0</v>
      </c>
      <c r="I165" s="93">
        <v>99.8</v>
      </c>
      <c r="J165" s="93">
        <v>4890.2</v>
      </c>
      <c r="K165" s="93">
        <v>2.68</v>
      </c>
      <c r="L165" s="93">
        <v>4889.2</v>
      </c>
      <c r="M165" s="93">
        <v>0.0</v>
      </c>
      <c r="N165" s="93">
        <v>1.0</v>
      </c>
      <c r="O165" s="94">
        <f t="shared" si="11"/>
        <v>100.8</v>
      </c>
    </row>
    <row r="166">
      <c r="A166" s="89">
        <v>27.0</v>
      </c>
      <c r="B166" s="90" t="s">
        <v>435</v>
      </c>
      <c r="C166" s="90" t="s">
        <v>592</v>
      </c>
      <c r="D166" s="90" t="s">
        <v>307</v>
      </c>
      <c r="E166" s="91">
        <v>38271.0</v>
      </c>
      <c r="F166" s="90" t="s">
        <v>593</v>
      </c>
      <c r="G166" s="92">
        <v>5.0</v>
      </c>
      <c r="H166" s="93">
        <v>490.0</v>
      </c>
      <c r="I166" s="93">
        <v>0.0</v>
      </c>
      <c r="J166" s="93">
        <v>490.0</v>
      </c>
      <c r="K166" s="93">
        <v>0.27</v>
      </c>
      <c r="L166" s="93">
        <v>489.0</v>
      </c>
      <c r="M166" s="93">
        <v>0.0</v>
      </c>
      <c r="N166" s="93">
        <v>1.0</v>
      </c>
      <c r="O166" s="94">
        <f t="shared" si="11"/>
        <v>1</v>
      </c>
    </row>
    <row r="167">
      <c r="A167" s="89">
        <v>28.0</v>
      </c>
      <c r="B167" s="90" t="s">
        <v>435</v>
      </c>
      <c r="C167" s="90" t="s">
        <v>594</v>
      </c>
      <c r="D167" s="90" t="s">
        <v>307</v>
      </c>
      <c r="E167" s="91">
        <v>39407.0</v>
      </c>
      <c r="F167" s="90" t="s">
        <v>593</v>
      </c>
      <c r="G167" s="92">
        <v>5.0</v>
      </c>
      <c r="H167" s="93">
        <v>600.0</v>
      </c>
      <c r="I167" s="93">
        <v>0.0</v>
      </c>
      <c r="J167" s="93">
        <v>600.0</v>
      </c>
      <c r="K167" s="93">
        <v>0.33</v>
      </c>
      <c r="L167" s="93">
        <v>599.0</v>
      </c>
      <c r="M167" s="93">
        <v>0.0</v>
      </c>
      <c r="N167" s="93">
        <v>1.0</v>
      </c>
      <c r="O167" s="94">
        <f t="shared" si="11"/>
        <v>1</v>
      </c>
    </row>
    <row r="168">
      <c r="A168" s="89">
        <v>29.0</v>
      </c>
      <c r="B168" s="90" t="s">
        <v>595</v>
      </c>
      <c r="C168" s="90" t="s">
        <v>596</v>
      </c>
      <c r="D168" s="90" t="s">
        <v>597</v>
      </c>
      <c r="E168" s="91">
        <v>37704.0</v>
      </c>
      <c r="F168" s="90" t="s">
        <v>598</v>
      </c>
      <c r="G168" s="92">
        <v>5.0</v>
      </c>
      <c r="H168" s="93">
        <v>10000.0</v>
      </c>
      <c r="I168" s="93">
        <v>0.0</v>
      </c>
      <c r="J168" s="93">
        <v>10000.0</v>
      </c>
      <c r="K168" s="93">
        <v>5.48</v>
      </c>
      <c r="L168" s="93">
        <v>9999.0</v>
      </c>
      <c r="M168" s="93">
        <v>0.0</v>
      </c>
      <c r="N168" s="93">
        <v>1.0</v>
      </c>
      <c r="O168" s="94">
        <f t="shared" si="11"/>
        <v>1</v>
      </c>
    </row>
    <row r="169">
      <c r="A169" s="89">
        <v>30.0</v>
      </c>
      <c r="B169" s="90" t="s">
        <v>429</v>
      </c>
      <c r="C169" s="90" t="s">
        <v>599</v>
      </c>
      <c r="D169" s="90" t="s">
        <v>597</v>
      </c>
      <c r="E169" s="91">
        <v>42397.0</v>
      </c>
      <c r="F169" s="90" t="s">
        <v>598</v>
      </c>
      <c r="G169" s="92">
        <v>5.0</v>
      </c>
      <c r="H169" s="93">
        <v>39790.0</v>
      </c>
      <c r="I169" s="93">
        <v>795.8</v>
      </c>
      <c r="J169" s="93">
        <v>38994.2</v>
      </c>
      <c r="K169" s="93">
        <v>21.37</v>
      </c>
      <c r="L169" s="93">
        <v>38993.2</v>
      </c>
      <c r="M169" s="93">
        <v>0.0</v>
      </c>
      <c r="N169" s="93">
        <v>1.0</v>
      </c>
      <c r="O169" s="94">
        <f t="shared" si="11"/>
        <v>796.8</v>
      </c>
    </row>
    <row r="170">
      <c r="A170" s="89">
        <v>31.0</v>
      </c>
      <c r="B170" s="90" t="s">
        <v>600</v>
      </c>
      <c r="C170" s="90" t="s">
        <v>601</v>
      </c>
      <c r="D170" s="90" t="s">
        <v>597</v>
      </c>
      <c r="E170" s="91">
        <v>43459.0</v>
      </c>
      <c r="F170" s="90" t="s">
        <v>598</v>
      </c>
      <c r="G170" s="92">
        <v>5.0</v>
      </c>
      <c r="H170" s="93">
        <v>5400.0</v>
      </c>
      <c r="I170" s="93">
        <v>108.0</v>
      </c>
      <c r="J170" s="93">
        <v>5292.0</v>
      </c>
      <c r="K170" s="93">
        <v>2.9</v>
      </c>
      <c r="L170" s="93">
        <v>4565.32</v>
      </c>
      <c r="M170" s="93">
        <v>614.8</v>
      </c>
      <c r="N170" s="93">
        <v>111.88</v>
      </c>
      <c r="O170" s="94">
        <f t="shared" si="11"/>
        <v>219.88</v>
      </c>
    </row>
    <row r="171">
      <c r="A171" s="89">
        <v>32.0</v>
      </c>
      <c r="B171" s="90" t="s">
        <v>440</v>
      </c>
      <c r="C171" s="90" t="s">
        <v>602</v>
      </c>
      <c r="D171" s="90" t="s">
        <v>597</v>
      </c>
      <c r="E171" s="91">
        <v>43731.0</v>
      </c>
      <c r="F171" s="90" t="s">
        <v>598</v>
      </c>
      <c r="G171" s="92">
        <v>5.0</v>
      </c>
      <c r="H171" s="93">
        <v>4890.0</v>
      </c>
      <c r="I171" s="93">
        <v>97.8</v>
      </c>
      <c r="J171" s="93">
        <v>4792.2</v>
      </c>
      <c r="K171" s="93">
        <v>2.63</v>
      </c>
      <c r="L171" s="93">
        <v>4121.52</v>
      </c>
      <c r="M171" s="93">
        <v>557.56</v>
      </c>
      <c r="N171" s="93">
        <v>113.12</v>
      </c>
      <c r="O171" s="94">
        <f t="shared" si="11"/>
        <v>210.92</v>
      </c>
    </row>
    <row r="172">
      <c r="A172" s="89">
        <v>33.0</v>
      </c>
      <c r="B172" s="90" t="s">
        <v>553</v>
      </c>
      <c r="C172" s="90" t="s">
        <v>603</v>
      </c>
      <c r="D172" s="90" t="s">
        <v>597</v>
      </c>
      <c r="E172" s="91">
        <v>42565.0</v>
      </c>
      <c r="F172" s="90" t="s">
        <v>598</v>
      </c>
      <c r="G172" s="92">
        <v>5.0</v>
      </c>
      <c r="H172" s="93">
        <v>4990.0</v>
      </c>
      <c r="I172" s="93">
        <v>29.36</v>
      </c>
      <c r="J172" s="93">
        <v>4960.64</v>
      </c>
      <c r="K172" s="93">
        <v>2.72</v>
      </c>
      <c r="L172" s="93">
        <v>4959.64</v>
      </c>
      <c r="M172" s="93">
        <v>0.0</v>
      </c>
      <c r="N172" s="93">
        <v>1.0</v>
      </c>
      <c r="O172" s="94">
        <f t="shared" si="11"/>
        <v>30.36</v>
      </c>
    </row>
    <row r="173">
      <c r="A173" s="89">
        <v>34.0</v>
      </c>
      <c r="B173" s="90" t="s">
        <v>476</v>
      </c>
      <c r="C173" s="90" t="s">
        <v>604</v>
      </c>
      <c r="D173" s="90" t="s">
        <v>605</v>
      </c>
      <c r="E173" s="91">
        <v>42626.0</v>
      </c>
      <c r="F173" s="90" t="s">
        <v>606</v>
      </c>
      <c r="G173" s="92">
        <v>5.0</v>
      </c>
      <c r="H173" s="93">
        <v>4990.0</v>
      </c>
      <c r="I173" s="93">
        <v>99.8</v>
      </c>
      <c r="J173" s="93">
        <v>4890.2</v>
      </c>
      <c r="K173" s="93">
        <v>2.68</v>
      </c>
      <c r="L173" s="93">
        <v>4889.2</v>
      </c>
      <c r="M173" s="93">
        <v>0.0</v>
      </c>
      <c r="N173" s="93">
        <v>1.0</v>
      </c>
      <c r="O173" s="94">
        <f t="shared" si="11"/>
        <v>100.8</v>
      </c>
    </row>
    <row r="174">
      <c r="A174" s="101"/>
      <c r="B174" s="102"/>
      <c r="C174" s="102"/>
      <c r="D174" s="102"/>
      <c r="E174" s="102"/>
      <c r="F174" s="102"/>
      <c r="G174" s="102"/>
      <c r="H174" s="101"/>
      <c r="I174" s="101"/>
      <c r="J174" s="101"/>
      <c r="K174" s="101"/>
      <c r="L174" s="101"/>
      <c r="M174" s="101"/>
      <c r="N174" s="101"/>
      <c r="O174" s="103">
        <f>SUM(O5:O173)</f>
        <v>27507.91</v>
      </c>
    </row>
  </sheetData>
  <mergeCells count="19">
    <mergeCell ref="A1:O1"/>
    <mergeCell ref="A2:O2"/>
    <mergeCell ref="A3:D3"/>
    <mergeCell ref="A12:D12"/>
    <mergeCell ref="A18:D18"/>
    <mergeCell ref="A24:E24"/>
    <mergeCell ref="A25:D25"/>
    <mergeCell ref="A100:D100"/>
    <mergeCell ref="A106:D106"/>
    <mergeCell ref="A107:D107"/>
    <mergeCell ref="A138:D138"/>
    <mergeCell ref="A139:D139"/>
    <mergeCell ref="A34:D34"/>
    <mergeCell ref="A42:D42"/>
    <mergeCell ref="A49:D49"/>
    <mergeCell ref="A54:D54"/>
    <mergeCell ref="A61:D61"/>
    <mergeCell ref="A65:D65"/>
    <mergeCell ref="A66:D6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5"/>
    <col customWidth="1" min="3" max="3" width="13.0"/>
    <col customWidth="1" min="4" max="4" width="18.5"/>
    <col customWidth="1" min="5" max="5" width="12.75"/>
    <col customWidth="1" min="6" max="6" width="19.5"/>
    <col customWidth="1" min="7" max="7" width="9.0"/>
    <col customWidth="1" min="8" max="8" width="9.88"/>
    <col customWidth="1" min="9" max="9" width="11.38"/>
    <col customWidth="1" min="10" max="10" width="13.75"/>
    <col customWidth="1" min="11" max="11" width="10.38"/>
    <col customWidth="1" min="12" max="12" width="10.88"/>
    <col customWidth="1" min="13" max="13" width="10.75"/>
    <col customWidth="1" min="14" max="14" width="8.38"/>
    <col customWidth="1" min="15" max="15" width="13.0"/>
  </cols>
  <sheetData>
    <row r="1">
      <c r="B1" s="104" t="s">
        <v>607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4"/>
      <c r="O1" s="105"/>
    </row>
    <row r="2">
      <c r="A2" s="106" t="s">
        <v>608</v>
      </c>
      <c r="B2" s="18"/>
      <c r="C2" s="18"/>
      <c r="D2" s="18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>
      <c r="A3" s="109" t="s">
        <v>339</v>
      </c>
      <c r="B3" s="109" t="s">
        <v>340</v>
      </c>
      <c r="C3" s="109" t="s">
        <v>341</v>
      </c>
      <c r="D3" s="109" t="s">
        <v>342</v>
      </c>
      <c r="E3" s="109" t="s">
        <v>343</v>
      </c>
      <c r="F3" s="109" t="s">
        <v>344</v>
      </c>
      <c r="G3" s="110" t="s">
        <v>345</v>
      </c>
      <c r="H3" s="110" t="s">
        <v>346</v>
      </c>
      <c r="I3" s="110" t="s">
        <v>347</v>
      </c>
      <c r="J3" s="110" t="s">
        <v>348</v>
      </c>
      <c r="K3" s="110" t="s">
        <v>349</v>
      </c>
      <c r="L3" s="110" t="s">
        <v>350</v>
      </c>
      <c r="M3" s="110" t="s">
        <v>351</v>
      </c>
      <c r="N3" s="110" t="s">
        <v>352</v>
      </c>
      <c r="O3" s="111" t="s">
        <v>353</v>
      </c>
    </row>
    <row r="4">
      <c r="A4" s="112">
        <v>1.0</v>
      </c>
      <c r="B4" s="113" t="s">
        <v>609</v>
      </c>
      <c r="C4" s="113" t="s">
        <v>610</v>
      </c>
      <c r="D4" s="113" t="s">
        <v>215</v>
      </c>
      <c r="E4" s="114">
        <v>28856.0</v>
      </c>
      <c r="F4" s="113" t="s">
        <v>214</v>
      </c>
      <c r="G4" s="115">
        <v>10.0</v>
      </c>
      <c r="H4" s="115">
        <v>55.0</v>
      </c>
      <c r="I4" s="115">
        <v>0.0</v>
      </c>
      <c r="J4" s="115">
        <v>55.0</v>
      </c>
      <c r="K4" s="115">
        <v>0.02</v>
      </c>
      <c r="L4" s="115">
        <v>54.0</v>
      </c>
      <c r="M4" s="115">
        <v>0.0</v>
      </c>
      <c r="N4" s="115">
        <v>1.0</v>
      </c>
      <c r="O4" s="116">
        <f t="shared" ref="O4:O19" si="1">I4+N4</f>
        <v>1</v>
      </c>
    </row>
    <row r="5">
      <c r="A5" s="112">
        <v>2.0</v>
      </c>
      <c r="B5" s="113" t="s">
        <v>611</v>
      </c>
      <c r="C5" s="113" t="s">
        <v>612</v>
      </c>
      <c r="D5" s="113" t="s">
        <v>215</v>
      </c>
      <c r="E5" s="114">
        <v>29221.0</v>
      </c>
      <c r="F5" s="113" t="s">
        <v>214</v>
      </c>
      <c r="G5" s="115">
        <v>5.0</v>
      </c>
      <c r="H5" s="115">
        <v>60.0</v>
      </c>
      <c r="I5" s="115">
        <v>0.0</v>
      </c>
      <c r="J5" s="115">
        <v>60.0</v>
      </c>
      <c r="K5" s="115">
        <v>0.03</v>
      </c>
      <c r="L5" s="115">
        <v>59.0</v>
      </c>
      <c r="M5" s="115">
        <v>0.0</v>
      </c>
      <c r="N5" s="115">
        <v>1.0</v>
      </c>
      <c r="O5" s="116">
        <f t="shared" si="1"/>
        <v>1</v>
      </c>
    </row>
    <row r="6">
      <c r="A6" s="112">
        <v>3.0</v>
      </c>
      <c r="B6" s="113" t="s">
        <v>201</v>
      </c>
      <c r="C6" s="113" t="s">
        <v>613</v>
      </c>
      <c r="D6" s="113" t="s">
        <v>215</v>
      </c>
      <c r="E6" s="114">
        <v>29221.0</v>
      </c>
      <c r="F6" s="113" t="s">
        <v>214</v>
      </c>
      <c r="G6" s="115">
        <v>10.0</v>
      </c>
      <c r="H6" s="115">
        <v>197.0</v>
      </c>
      <c r="I6" s="115">
        <v>0.0</v>
      </c>
      <c r="J6" s="115">
        <v>197.0</v>
      </c>
      <c r="K6" s="115">
        <v>0.05</v>
      </c>
      <c r="L6" s="115">
        <v>196.0</v>
      </c>
      <c r="M6" s="115">
        <v>0.0</v>
      </c>
      <c r="N6" s="115">
        <v>1.0</v>
      </c>
      <c r="O6" s="116">
        <f t="shared" si="1"/>
        <v>1</v>
      </c>
    </row>
    <row r="7">
      <c r="A7" s="112">
        <v>4.0</v>
      </c>
      <c r="B7" s="113" t="s">
        <v>201</v>
      </c>
      <c r="C7" s="113" t="s">
        <v>614</v>
      </c>
      <c r="D7" s="113" t="s">
        <v>215</v>
      </c>
      <c r="E7" s="114">
        <v>29587.0</v>
      </c>
      <c r="F7" s="113" t="s">
        <v>214</v>
      </c>
      <c r="G7" s="115">
        <v>10.0</v>
      </c>
      <c r="H7" s="115">
        <v>485.0</v>
      </c>
      <c r="I7" s="115">
        <v>0.0</v>
      </c>
      <c r="J7" s="115">
        <v>485.0</v>
      </c>
      <c r="K7" s="115">
        <v>0.13</v>
      </c>
      <c r="L7" s="115">
        <v>484.0</v>
      </c>
      <c r="M7" s="115">
        <v>0.0</v>
      </c>
      <c r="N7" s="115">
        <v>1.0</v>
      </c>
      <c r="O7" s="116">
        <f t="shared" si="1"/>
        <v>1</v>
      </c>
    </row>
    <row r="8">
      <c r="A8" s="112">
        <v>5.0</v>
      </c>
      <c r="B8" s="113" t="s">
        <v>56</v>
      </c>
      <c r="C8" s="113" t="s">
        <v>615</v>
      </c>
      <c r="D8" s="113" t="s">
        <v>215</v>
      </c>
      <c r="E8" s="114">
        <v>30682.0</v>
      </c>
      <c r="F8" s="113" t="s">
        <v>214</v>
      </c>
      <c r="G8" s="115">
        <v>12.0</v>
      </c>
      <c r="H8" s="115">
        <v>2275.0</v>
      </c>
      <c r="I8" s="115">
        <v>0.0</v>
      </c>
      <c r="J8" s="115">
        <v>2275.0</v>
      </c>
      <c r="K8" s="115">
        <v>0.52</v>
      </c>
      <c r="L8" s="115">
        <v>2274.0</v>
      </c>
      <c r="M8" s="115">
        <v>0.0</v>
      </c>
      <c r="N8" s="115">
        <v>1.0</v>
      </c>
      <c r="O8" s="116">
        <f t="shared" si="1"/>
        <v>1</v>
      </c>
    </row>
    <row r="9">
      <c r="A9" s="112">
        <v>6.0</v>
      </c>
      <c r="B9" s="113" t="s">
        <v>616</v>
      </c>
      <c r="C9" s="113" t="s">
        <v>617</v>
      </c>
      <c r="D9" s="113" t="s">
        <v>215</v>
      </c>
      <c r="E9" s="114">
        <v>31048.0</v>
      </c>
      <c r="F9" s="113" t="s">
        <v>214</v>
      </c>
      <c r="G9" s="115">
        <v>10.0</v>
      </c>
      <c r="H9" s="115">
        <v>525.0</v>
      </c>
      <c r="I9" s="115">
        <v>0.0</v>
      </c>
      <c r="J9" s="115">
        <v>525.0</v>
      </c>
      <c r="K9" s="115">
        <v>0.14</v>
      </c>
      <c r="L9" s="115">
        <v>524.0</v>
      </c>
      <c r="M9" s="115">
        <v>0.0</v>
      </c>
      <c r="N9" s="115">
        <v>1.0</v>
      </c>
      <c r="O9" s="116">
        <f t="shared" si="1"/>
        <v>1</v>
      </c>
    </row>
    <row r="10">
      <c r="A10" s="112">
        <v>7.0</v>
      </c>
      <c r="B10" s="113" t="s">
        <v>611</v>
      </c>
      <c r="C10" s="113" t="s">
        <v>618</v>
      </c>
      <c r="D10" s="113" t="s">
        <v>215</v>
      </c>
      <c r="E10" s="114">
        <v>31778.0</v>
      </c>
      <c r="F10" s="113" t="s">
        <v>214</v>
      </c>
      <c r="G10" s="115">
        <v>5.0</v>
      </c>
      <c r="H10" s="115">
        <v>120.0</v>
      </c>
      <c r="I10" s="115">
        <v>0.0</v>
      </c>
      <c r="J10" s="115">
        <v>120.0</v>
      </c>
      <c r="K10" s="115">
        <v>0.07</v>
      </c>
      <c r="L10" s="115">
        <v>119.0</v>
      </c>
      <c r="M10" s="115">
        <v>0.0</v>
      </c>
      <c r="N10" s="115">
        <v>1.0</v>
      </c>
      <c r="O10" s="116">
        <f t="shared" si="1"/>
        <v>1</v>
      </c>
    </row>
    <row r="11">
      <c r="A11" s="112">
        <v>8.0</v>
      </c>
      <c r="B11" s="113" t="s">
        <v>619</v>
      </c>
      <c r="C11" s="113" t="s">
        <v>620</v>
      </c>
      <c r="D11" s="113" t="s">
        <v>215</v>
      </c>
      <c r="E11" s="114">
        <v>37428.0</v>
      </c>
      <c r="F11" s="113" t="s">
        <v>214</v>
      </c>
      <c r="G11" s="115">
        <v>5.0</v>
      </c>
      <c r="H11" s="115">
        <v>3675.0</v>
      </c>
      <c r="I11" s="115">
        <v>0.0</v>
      </c>
      <c r="J11" s="115">
        <v>3675.0</v>
      </c>
      <c r="K11" s="115">
        <v>2.01</v>
      </c>
      <c r="L11" s="115">
        <v>3674.0</v>
      </c>
      <c r="M11" s="115">
        <v>0.0</v>
      </c>
      <c r="N11" s="115">
        <v>1.0</v>
      </c>
      <c r="O11" s="116">
        <f t="shared" si="1"/>
        <v>1</v>
      </c>
    </row>
    <row r="12">
      <c r="A12" s="112">
        <v>9.0</v>
      </c>
      <c r="B12" s="113" t="s">
        <v>621</v>
      </c>
      <c r="C12" s="113" t="s">
        <v>622</v>
      </c>
      <c r="D12" s="113" t="s">
        <v>215</v>
      </c>
      <c r="E12" s="114">
        <v>42233.0</v>
      </c>
      <c r="F12" s="113" t="s">
        <v>214</v>
      </c>
      <c r="G12" s="115">
        <v>5.0</v>
      </c>
      <c r="H12" s="115">
        <v>4690.0</v>
      </c>
      <c r="I12" s="115">
        <v>93.8</v>
      </c>
      <c r="J12" s="115">
        <v>4596.2</v>
      </c>
      <c r="K12" s="115">
        <v>2.52</v>
      </c>
      <c r="L12" s="115">
        <v>4595.2</v>
      </c>
      <c r="M12" s="115">
        <v>0.0</v>
      </c>
      <c r="N12" s="115">
        <v>1.0</v>
      </c>
      <c r="O12" s="116">
        <f t="shared" si="1"/>
        <v>94.8</v>
      </c>
    </row>
    <row r="13">
      <c r="A13" s="112">
        <v>10.0</v>
      </c>
      <c r="B13" s="113" t="s">
        <v>152</v>
      </c>
      <c r="C13" s="113" t="s">
        <v>623</v>
      </c>
      <c r="D13" s="113" t="s">
        <v>224</v>
      </c>
      <c r="E13" s="114">
        <v>30317.0</v>
      </c>
      <c r="F13" s="113" t="s">
        <v>422</v>
      </c>
      <c r="G13" s="115">
        <v>10.0</v>
      </c>
      <c r="H13" s="115">
        <v>650.0</v>
      </c>
      <c r="I13" s="115">
        <v>0.0</v>
      </c>
      <c r="J13" s="115">
        <v>650.0</v>
      </c>
      <c r="K13" s="115">
        <v>0.18</v>
      </c>
      <c r="L13" s="115">
        <v>649.0</v>
      </c>
      <c r="M13" s="115">
        <v>0.0</v>
      </c>
      <c r="N13" s="115">
        <v>1.0</v>
      </c>
      <c r="O13" s="116">
        <f t="shared" si="1"/>
        <v>1</v>
      </c>
    </row>
    <row r="14">
      <c r="A14" s="112">
        <v>11.0</v>
      </c>
      <c r="B14" s="113" t="s">
        <v>611</v>
      </c>
      <c r="C14" s="113" t="s">
        <v>624</v>
      </c>
      <c r="D14" s="113" t="s">
        <v>226</v>
      </c>
      <c r="E14" s="114">
        <v>40172.0</v>
      </c>
      <c r="F14" s="113" t="s">
        <v>387</v>
      </c>
      <c r="G14" s="115">
        <v>5.0</v>
      </c>
      <c r="H14" s="115">
        <v>1400.0</v>
      </c>
      <c r="I14" s="115">
        <v>0.0</v>
      </c>
      <c r="J14" s="115">
        <v>1400.0</v>
      </c>
      <c r="K14" s="115">
        <v>0.77</v>
      </c>
      <c r="L14" s="115">
        <v>1399.0</v>
      </c>
      <c r="M14" s="115">
        <v>0.0</v>
      </c>
      <c r="N14" s="115">
        <v>1.0</v>
      </c>
      <c r="O14" s="116">
        <f t="shared" si="1"/>
        <v>1</v>
      </c>
    </row>
    <row r="15">
      <c r="A15" s="112">
        <v>12.0</v>
      </c>
      <c r="B15" s="113" t="s">
        <v>625</v>
      </c>
      <c r="C15" s="113" t="s">
        <v>626</v>
      </c>
      <c r="D15" s="113" t="s">
        <v>226</v>
      </c>
      <c r="E15" s="114">
        <v>42978.0</v>
      </c>
      <c r="F15" s="113" t="s">
        <v>387</v>
      </c>
      <c r="G15" s="115">
        <v>5.0</v>
      </c>
      <c r="H15" s="115">
        <v>4950.0</v>
      </c>
      <c r="I15" s="115">
        <v>99.0</v>
      </c>
      <c r="J15" s="115">
        <v>4851.0</v>
      </c>
      <c r="K15" s="115">
        <v>2.66</v>
      </c>
      <c r="L15" s="115">
        <v>4850.0</v>
      </c>
      <c r="M15" s="115">
        <v>0.0</v>
      </c>
      <c r="N15" s="115">
        <v>1.0</v>
      </c>
      <c r="O15" s="116">
        <f t="shared" si="1"/>
        <v>100</v>
      </c>
    </row>
    <row r="16">
      <c r="A16" s="112">
        <v>13.0</v>
      </c>
      <c r="B16" s="113" t="s">
        <v>611</v>
      </c>
      <c r="C16" s="113" t="s">
        <v>627</v>
      </c>
      <c r="D16" s="113" t="s">
        <v>234</v>
      </c>
      <c r="E16" s="114">
        <v>28856.0</v>
      </c>
      <c r="F16" s="113" t="s">
        <v>437</v>
      </c>
      <c r="G16" s="115">
        <v>10.0</v>
      </c>
      <c r="H16" s="115">
        <v>150.0</v>
      </c>
      <c r="I16" s="115">
        <v>0.0</v>
      </c>
      <c r="J16" s="115">
        <v>150.0</v>
      </c>
      <c r="K16" s="115">
        <v>0.04</v>
      </c>
      <c r="L16" s="115">
        <v>149.0</v>
      </c>
      <c r="M16" s="115">
        <v>0.0</v>
      </c>
      <c r="N16" s="115">
        <v>1.0</v>
      </c>
      <c r="O16" s="116">
        <f t="shared" si="1"/>
        <v>1</v>
      </c>
    </row>
    <row r="17">
      <c r="A17" s="112">
        <v>14.0</v>
      </c>
      <c r="B17" s="113" t="s">
        <v>56</v>
      </c>
      <c r="C17" s="113" t="s">
        <v>628</v>
      </c>
      <c r="D17" s="113" t="s">
        <v>234</v>
      </c>
      <c r="E17" s="114">
        <v>30682.0</v>
      </c>
      <c r="F17" s="113" t="s">
        <v>437</v>
      </c>
      <c r="G17" s="115">
        <v>12.0</v>
      </c>
      <c r="H17" s="115">
        <v>2275.0</v>
      </c>
      <c r="I17" s="115">
        <v>0.0</v>
      </c>
      <c r="J17" s="115">
        <v>2275.0</v>
      </c>
      <c r="K17" s="115">
        <v>0.52</v>
      </c>
      <c r="L17" s="115">
        <v>2274.0</v>
      </c>
      <c r="M17" s="115">
        <v>0.0</v>
      </c>
      <c r="N17" s="115">
        <v>1.0</v>
      </c>
      <c r="O17" s="116">
        <f t="shared" si="1"/>
        <v>1</v>
      </c>
    </row>
    <row r="18">
      <c r="A18" s="112">
        <v>15.0</v>
      </c>
      <c r="B18" s="113" t="s">
        <v>611</v>
      </c>
      <c r="C18" s="113" t="s">
        <v>629</v>
      </c>
      <c r="D18" s="113" t="s">
        <v>234</v>
      </c>
      <c r="E18" s="114">
        <v>37428.0</v>
      </c>
      <c r="F18" s="113" t="s">
        <v>437</v>
      </c>
      <c r="G18" s="115">
        <v>5.0</v>
      </c>
      <c r="H18" s="115">
        <v>3675.0</v>
      </c>
      <c r="I18" s="115">
        <v>0.0</v>
      </c>
      <c r="J18" s="115">
        <v>3675.0</v>
      </c>
      <c r="K18" s="115">
        <v>2.01</v>
      </c>
      <c r="L18" s="115">
        <v>3674.0</v>
      </c>
      <c r="M18" s="115">
        <v>0.0</v>
      </c>
      <c r="N18" s="115">
        <v>1.0</v>
      </c>
      <c r="O18" s="116">
        <f t="shared" si="1"/>
        <v>1</v>
      </c>
    </row>
    <row r="19">
      <c r="A19" s="112">
        <v>16.0</v>
      </c>
      <c r="B19" s="113" t="s">
        <v>630</v>
      </c>
      <c r="C19" s="113" t="s">
        <v>631</v>
      </c>
      <c r="D19" s="113" t="s">
        <v>632</v>
      </c>
      <c r="E19" s="114">
        <v>43317.0</v>
      </c>
      <c r="F19" s="113" t="s">
        <v>633</v>
      </c>
      <c r="G19" s="115">
        <v>5.0</v>
      </c>
      <c r="H19" s="115">
        <v>5150.0</v>
      </c>
      <c r="I19" s="115">
        <v>103.0</v>
      </c>
      <c r="J19" s="115">
        <v>5047.0</v>
      </c>
      <c r="K19" s="115">
        <v>2.77</v>
      </c>
      <c r="L19" s="115">
        <v>4843.92</v>
      </c>
      <c r="M19" s="115">
        <v>202.08</v>
      </c>
      <c r="N19" s="115">
        <v>1.0</v>
      </c>
      <c r="O19" s="116">
        <f t="shared" si="1"/>
        <v>104</v>
      </c>
    </row>
    <row r="20">
      <c r="A20" s="117"/>
      <c r="C20" s="118"/>
      <c r="D20" s="118"/>
      <c r="E20" s="119"/>
      <c r="F20" s="118"/>
      <c r="G20" s="120"/>
      <c r="H20" s="120"/>
      <c r="I20" s="120"/>
      <c r="J20" s="120"/>
      <c r="K20" s="120"/>
      <c r="L20" s="120"/>
      <c r="M20" s="120"/>
      <c r="N20" s="120"/>
      <c r="O20" s="105"/>
    </row>
    <row r="21">
      <c r="A21" s="117"/>
      <c r="C21" s="118"/>
      <c r="D21" s="118"/>
      <c r="E21" s="119"/>
      <c r="F21" s="118"/>
      <c r="G21" s="120"/>
      <c r="H21" s="120"/>
      <c r="I21" s="120"/>
      <c r="J21" s="120"/>
      <c r="K21" s="120"/>
      <c r="L21" s="120"/>
      <c r="M21" s="120"/>
      <c r="N21" s="120"/>
      <c r="O21" s="105"/>
    </row>
    <row r="22">
      <c r="A22" s="117"/>
      <c r="C22" s="118"/>
      <c r="D22" s="118"/>
      <c r="E22" s="119"/>
      <c r="F22" s="118"/>
      <c r="G22" s="120"/>
      <c r="H22" s="120"/>
      <c r="I22" s="120"/>
      <c r="J22" s="120"/>
      <c r="K22" s="120"/>
      <c r="L22" s="120"/>
      <c r="M22" s="120"/>
      <c r="N22" s="120"/>
      <c r="O22" s="105"/>
    </row>
    <row r="23">
      <c r="A23" s="121" t="s">
        <v>319</v>
      </c>
      <c r="B23" s="18"/>
      <c r="C23" s="18"/>
      <c r="D23" s="18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8"/>
    </row>
    <row r="24">
      <c r="A24" s="112">
        <v>1.0</v>
      </c>
      <c r="B24" s="113" t="s">
        <v>634</v>
      </c>
      <c r="C24" s="113" t="s">
        <v>635</v>
      </c>
      <c r="D24" s="113" t="s">
        <v>445</v>
      </c>
      <c r="E24" s="114">
        <v>43909.0</v>
      </c>
      <c r="F24" s="113" t="s">
        <v>447</v>
      </c>
      <c r="G24" s="115">
        <v>6.0</v>
      </c>
      <c r="H24" s="115">
        <v>13490.0</v>
      </c>
      <c r="I24" s="115">
        <v>269.8</v>
      </c>
      <c r="J24" s="115">
        <v>13220.2</v>
      </c>
      <c r="K24" s="115">
        <v>6.04</v>
      </c>
      <c r="L24" s="115">
        <v>10057.63</v>
      </c>
      <c r="M24" s="115">
        <v>1280.48</v>
      </c>
      <c r="N24" s="115">
        <v>1882.09</v>
      </c>
      <c r="O24" s="116">
        <f t="shared" ref="O24:O29" si="2">I24+N24</f>
        <v>2151.89</v>
      </c>
    </row>
    <row r="25">
      <c r="A25" s="112">
        <v>2.0</v>
      </c>
      <c r="B25" s="113" t="s">
        <v>634</v>
      </c>
      <c r="C25" s="113" t="s">
        <v>636</v>
      </c>
      <c r="D25" s="113" t="s">
        <v>445</v>
      </c>
      <c r="E25" s="114">
        <v>43909.0</v>
      </c>
      <c r="F25" s="113" t="s">
        <v>447</v>
      </c>
      <c r="G25" s="115">
        <v>6.0</v>
      </c>
      <c r="H25" s="115">
        <v>13490.0</v>
      </c>
      <c r="I25" s="115">
        <v>269.8</v>
      </c>
      <c r="J25" s="115">
        <v>13220.2</v>
      </c>
      <c r="K25" s="115">
        <v>6.04</v>
      </c>
      <c r="L25" s="115">
        <v>10057.63</v>
      </c>
      <c r="M25" s="115">
        <v>1280.48</v>
      </c>
      <c r="N25" s="115">
        <v>1882.09</v>
      </c>
      <c r="O25" s="116">
        <f t="shared" si="2"/>
        <v>2151.89</v>
      </c>
    </row>
    <row r="26">
      <c r="A26" s="112">
        <v>3.0</v>
      </c>
      <c r="B26" s="113" t="s">
        <v>142</v>
      </c>
      <c r="C26" s="113" t="s">
        <v>637</v>
      </c>
      <c r="D26" s="113" t="s">
        <v>165</v>
      </c>
      <c r="E26" s="114">
        <v>37725.0</v>
      </c>
      <c r="F26" s="113" t="s">
        <v>638</v>
      </c>
      <c r="G26" s="115">
        <v>10.0</v>
      </c>
      <c r="H26" s="115">
        <v>18675.0</v>
      </c>
      <c r="I26" s="115">
        <v>0.0</v>
      </c>
      <c r="J26" s="115">
        <v>18675.0</v>
      </c>
      <c r="K26" s="115">
        <v>5.12</v>
      </c>
      <c r="L26" s="115">
        <v>18674.0</v>
      </c>
      <c r="M26" s="115">
        <v>0.0</v>
      </c>
      <c r="N26" s="115">
        <v>1.0</v>
      </c>
      <c r="O26" s="116">
        <f t="shared" si="2"/>
        <v>1</v>
      </c>
    </row>
    <row r="27">
      <c r="A27" s="112">
        <v>4.0</v>
      </c>
      <c r="B27" s="113" t="s">
        <v>619</v>
      </c>
      <c r="C27" s="113" t="s">
        <v>639</v>
      </c>
      <c r="D27" s="113" t="s">
        <v>640</v>
      </c>
      <c r="E27" s="114">
        <v>43914.0</v>
      </c>
      <c r="F27" s="113" t="s">
        <v>641</v>
      </c>
      <c r="G27" s="115">
        <v>10.0</v>
      </c>
      <c r="H27" s="115">
        <v>3990.0</v>
      </c>
      <c r="I27" s="115">
        <v>79.8</v>
      </c>
      <c r="J27" s="115">
        <v>3910.2</v>
      </c>
      <c r="K27" s="115">
        <v>1.07</v>
      </c>
      <c r="L27" s="115">
        <v>2443.68</v>
      </c>
      <c r="M27" s="115">
        <v>226.84</v>
      </c>
      <c r="N27" s="115">
        <v>1239.68</v>
      </c>
      <c r="O27" s="116">
        <f t="shared" si="2"/>
        <v>1319.48</v>
      </c>
    </row>
    <row r="28">
      <c r="A28" s="112">
        <v>5.0</v>
      </c>
      <c r="B28" s="113" t="s">
        <v>642</v>
      </c>
      <c r="C28" s="113" t="s">
        <v>643</v>
      </c>
      <c r="D28" s="113" t="s">
        <v>208</v>
      </c>
      <c r="E28" s="114">
        <v>43179.0</v>
      </c>
      <c r="F28" s="113" t="s">
        <v>210</v>
      </c>
      <c r="G28" s="115">
        <v>5.0</v>
      </c>
      <c r="H28" s="115">
        <v>4243.0</v>
      </c>
      <c r="I28" s="115">
        <v>84.86</v>
      </c>
      <c r="J28" s="115">
        <v>4158.14</v>
      </c>
      <c r="K28" s="115">
        <v>2.28</v>
      </c>
      <c r="L28" s="115">
        <v>4075.37</v>
      </c>
      <c r="M28" s="115">
        <v>81.77</v>
      </c>
      <c r="N28" s="115">
        <v>1.0</v>
      </c>
      <c r="O28" s="116">
        <f t="shared" si="2"/>
        <v>85.86</v>
      </c>
    </row>
    <row r="29">
      <c r="A29" s="112">
        <v>6.0</v>
      </c>
      <c r="B29" s="113" t="s">
        <v>619</v>
      </c>
      <c r="C29" s="113" t="s">
        <v>644</v>
      </c>
      <c r="D29" s="113" t="s">
        <v>173</v>
      </c>
      <c r="E29" s="114">
        <v>43317.0</v>
      </c>
      <c r="F29" s="113" t="s">
        <v>494</v>
      </c>
      <c r="G29" s="115">
        <v>5.0</v>
      </c>
      <c r="H29" s="115">
        <v>4950.0</v>
      </c>
      <c r="I29" s="115">
        <v>99.0</v>
      </c>
      <c r="J29" s="115">
        <v>4851.0</v>
      </c>
      <c r="K29" s="115">
        <v>2.66</v>
      </c>
      <c r="L29" s="115">
        <v>4654.91</v>
      </c>
      <c r="M29" s="115">
        <v>195.09</v>
      </c>
      <c r="N29" s="115">
        <v>1.0</v>
      </c>
      <c r="O29" s="116">
        <f t="shared" si="2"/>
        <v>100</v>
      </c>
    </row>
    <row r="30">
      <c r="A30" s="117"/>
      <c r="C30" s="118"/>
      <c r="D30" s="118"/>
      <c r="E30" s="119"/>
      <c r="F30" s="118"/>
      <c r="G30" s="120"/>
      <c r="H30" s="120"/>
      <c r="I30" s="120"/>
      <c r="J30" s="120"/>
      <c r="K30" s="120"/>
      <c r="L30" s="120"/>
      <c r="M30" s="120"/>
      <c r="N30" s="120"/>
      <c r="O30" s="105"/>
    </row>
    <row r="31">
      <c r="A31" s="117"/>
      <c r="C31" s="118"/>
      <c r="D31" s="118"/>
      <c r="E31" s="119"/>
      <c r="F31" s="118"/>
      <c r="G31" s="120"/>
      <c r="H31" s="120"/>
      <c r="I31" s="120"/>
      <c r="J31" s="120"/>
      <c r="K31" s="120"/>
      <c r="L31" s="120"/>
      <c r="M31" s="120"/>
      <c r="N31" s="120"/>
      <c r="O31" s="105"/>
    </row>
    <row r="32">
      <c r="A32" s="117"/>
      <c r="C32" s="118"/>
      <c r="D32" s="118"/>
      <c r="E32" s="119"/>
      <c r="F32" s="118"/>
      <c r="G32" s="120"/>
      <c r="H32" s="120"/>
      <c r="I32" s="120"/>
      <c r="J32" s="120"/>
      <c r="K32" s="120"/>
      <c r="L32" s="120"/>
      <c r="M32" s="120"/>
      <c r="N32" s="120"/>
      <c r="O32" s="105"/>
    </row>
    <row r="33">
      <c r="A33" s="121" t="s">
        <v>544</v>
      </c>
      <c r="B33" s="18"/>
      <c r="C33" s="18"/>
      <c r="D33" s="18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>
      <c r="A34" s="112">
        <v>1.0</v>
      </c>
      <c r="B34" s="113" t="s">
        <v>611</v>
      </c>
      <c r="C34" s="113" t="s">
        <v>645</v>
      </c>
      <c r="D34" s="113" t="s">
        <v>526</v>
      </c>
      <c r="E34" s="114">
        <v>30317.0</v>
      </c>
      <c r="F34" s="113" t="s">
        <v>527</v>
      </c>
      <c r="G34" s="115">
        <v>5.0</v>
      </c>
      <c r="H34" s="115">
        <v>1075.0</v>
      </c>
      <c r="I34" s="115">
        <v>0.0</v>
      </c>
      <c r="J34" s="115">
        <v>1075.0</v>
      </c>
      <c r="K34" s="115">
        <v>0.59</v>
      </c>
      <c r="L34" s="115">
        <v>1074.0</v>
      </c>
      <c r="M34" s="115">
        <v>0.0</v>
      </c>
      <c r="N34" s="115">
        <v>1.0</v>
      </c>
      <c r="O34" s="116">
        <f t="shared" ref="O34:O37" si="3">I34+N34</f>
        <v>1</v>
      </c>
    </row>
    <row r="35">
      <c r="A35" s="112">
        <v>2.0</v>
      </c>
      <c r="B35" s="113" t="s">
        <v>203</v>
      </c>
      <c r="C35" s="113" t="s">
        <v>646</v>
      </c>
      <c r="D35" s="113" t="s">
        <v>249</v>
      </c>
      <c r="E35" s="114">
        <v>28856.0</v>
      </c>
      <c r="F35" s="113" t="s">
        <v>507</v>
      </c>
      <c r="G35" s="115">
        <v>10.0</v>
      </c>
      <c r="H35" s="115">
        <v>280.0</v>
      </c>
      <c r="I35" s="115">
        <v>0.0</v>
      </c>
      <c r="J35" s="115">
        <v>280.0</v>
      </c>
      <c r="K35" s="115">
        <v>0.08</v>
      </c>
      <c r="L35" s="115">
        <v>279.0</v>
      </c>
      <c r="M35" s="115">
        <v>0.0</v>
      </c>
      <c r="N35" s="115">
        <v>1.0</v>
      </c>
      <c r="O35" s="116">
        <f t="shared" si="3"/>
        <v>1</v>
      </c>
    </row>
    <row r="36">
      <c r="A36" s="112">
        <v>3.0</v>
      </c>
      <c r="B36" s="113" t="s">
        <v>647</v>
      </c>
      <c r="C36" s="113" t="s">
        <v>648</v>
      </c>
      <c r="D36" s="113" t="s">
        <v>510</v>
      </c>
      <c r="E36" s="114">
        <v>38570.0</v>
      </c>
      <c r="F36" s="113" t="s">
        <v>511</v>
      </c>
      <c r="G36" s="115">
        <v>6.0</v>
      </c>
      <c r="H36" s="115">
        <v>3919.2</v>
      </c>
      <c r="I36" s="115">
        <v>0.0</v>
      </c>
      <c r="J36" s="115">
        <v>3919.2</v>
      </c>
      <c r="K36" s="115">
        <v>1.79</v>
      </c>
      <c r="L36" s="115">
        <v>3918.2</v>
      </c>
      <c r="M36" s="115">
        <v>0.0</v>
      </c>
      <c r="N36" s="115">
        <v>1.0</v>
      </c>
      <c r="O36" s="116">
        <f t="shared" si="3"/>
        <v>1</v>
      </c>
    </row>
    <row r="37">
      <c r="A37" s="112">
        <v>4.0</v>
      </c>
      <c r="B37" s="113" t="s">
        <v>649</v>
      </c>
      <c r="C37" s="113" t="s">
        <v>650</v>
      </c>
      <c r="D37" s="113" t="s">
        <v>538</v>
      </c>
      <c r="E37" s="114">
        <v>30682.0</v>
      </c>
      <c r="F37" s="113" t="s">
        <v>539</v>
      </c>
      <c r="G37" s="115">
        <v>12.0</v>
      </c>
      <c r="H37" s="115">
        <v>280.0</v>
      </c>
      <c r="I37" s="115">
        <v>0.0</v>
      </c>
      <c r="J37" s="115">
        <v>280.0</v>
      </c>
      <c r="K37" s="115">
        <v>0.06</v>
      </c>
      <c r="L37" s="115">
        <v>279.0</v>
      </c>
      <c r="M37" s="115">
        <v>0.0</v>
      </c>
      <c r="N37" s="115">
        <v>1.0</v>
      </c>
      <c r="O37" s="116">
        <f t="shared" si="3"/>
        <v>1</v>
      </c>
    </row>
    <row r="38">
      <c r="A38" s="117"/>
      <c r="C38" s="118"/>
      <c r="D38" s="118"/>
      <c r="E38" s="119"/>
      <c r="F38" s="118"/>
      <c r="G38" s="120"/>
      <c r="H38" s="120"/>
      <c r="I38" s="120"/>
      <c r="J38" s="120"/>
      <c r="K38" s="120"/>
      <c r="L38" s="120"/>
      <c r="M38" s="120"/>
      <c r="N38" s="120"/>
      <c r="O38" s="105"/>
    </row>
    <row r="39">
      <c r="A39" s="117"/>
      <c r="C39" s="118"/>
      <c r="D39" s="118"/>
      <c r="E39" s="119"/>
      <c r="F39" s="118"/>
      <c r="G39" s="120"/>
      <c r="H39" s="120"/>
      <c r="I39" s="120"/>
      <c r="J39" s="120"/>
      <c r="K39" s="120"/>
      <c r="L39" s="120"/>
      <c r="M39" s="120"/>
      <c r="N39" s="120"/>
      <c r="O39" s="105"/>
    </row>
    <row r="40">
      <c r="A40" s="121" t="s">
        <v>319</v>
      </c>
      <c r="B40" s="18"/>
      <c r="C40" s="18"/>
      <c r="D40" s="18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8"/>
    </row>
    <row r="41">
      <c r="A41" s="112">
        <v>1.0</v>
      </c>
      <c r="B41" s="113" t="s">
        <v>651</v>
      </c>
      <c r="C41" s="113" t="s">
        <v>652</v>
      </c>
      <c r="D41" s="113" t="s">
        <v>547</v>
      </c>
      <c r="E41" s="114">
        <v>28491.0</v>
      </c>
      <c r="F41" s="113" t="s">
        <v>548</v>
      </c>
      <c r="G41" s="115">
        <v>10.0</v>
      </c>
      <c r="H41" s="115">
        <v>340.0</v>
      </c>
      <c r="I41" s="115">
        <v>0.0</v>
      </c>
      <c r="J41" s="115">
        <v>340.0</v>
      </c>
      <c r="K41" s="115">
        <v>0.09</v>
      </c>
      <c r="L41" s="115">
        <v>339.0</v>
      </c>
      <c r="M41" s="115">
        <v>0.0</v>
      </c>
      <c r="N41" s="115">
        <v>1.0</v>
      </c>
      <c r="O41" s="116">
        <f t="shared" ref="O41:O61" si="4">I41+N41</f>
        <v>1</v>
      </c>
    </row>
    <row r="42">
      <c r="A42" s="112">
        <v>2.0</v>
      </c>
      <c r="B42" s="113" t="s">
        <v>56</v>
      </c>
      <c r="C42" s="113" t="s">
        <v>653</v>
      </c>
      <c r="D42" s="113" t="s">
        <v>547</v>
      </c>
      <c r="E42" s="114">
        <v>30682.0</v>
      </c>
      <c r="F42" s="113" t="s">
        <v>548</v>
      </c>
      <c r="G42" s="115">
        <v>12.0</v>
      </c>
      <c r="H42" s="115">
        <v>1350.0</v>
      </c>
      <c r="I42" s="115">
        <v>0.0</v>
      </c>
      <c r="J42" s="115">
        <v>1350.0</v>
      </c>
      <c r="K42" s="115">
        <v>0.31</v>
      </c>
      <c r="L42" s="115">
        <v>1349.0</v>
      </c>
      <c r="M42" s="115">
        <v>0.0</v>
      </c>
      <c r="N42" s="115">
        <v>1.0</v>
      </c>
      <c r="O42" s="116">
        <f t="shared" si="4"/>
        <v>1</v>
      </c>
    </row>
    <row r="43">
      <c r="A43" s="112">
        <v>3.0</v>
      </c>
      <c r="B43" s="113" t="s">
        <v>654</v>
      </c>
      <c r="C43" s="113" t="s">
        <v>655</v>
      </c>
      <c r="D43" s="113" t="s">
        <v>547</v>
      </c>
      <c r="E43" s="114">
        <v>35961.0</v>
      </c>
      <c r="F43" s="113" t="s">
        <v>548</v>
      </c>
      <c r="G43" s="115">
        <v>12.0</v>
      </c>
      <c r="H43" s="115">
        <v>2955.0</v>
      </c>
      <c r="I43" s="115">
        <v>0.0</v>
      </c>
      <c r="J43" s="115">
        <v>2955.0</v>
      </c>
      <c r="K43" s="115">
        <v>0.67</v>
      </c>
      <c r="L43" s="115">
        <v>2954.0</v>
      </c>
      <c r="M43" s="115">
        <v>0.0</v>
      </c>
      <c r="N43" s="115">
        <v>1.0</v>
      </c>
      <c r="O43" s="116">
        <f t="shared" si="4"/>
        <v>1</v>
      </c>
    </row>
    <row r="44">
      <c r="A44" s="112">
        <v>4.0</v>
      </c>
      <c r="B44" s="113" t="s">
        <v>201</v>
      </c>
      <c r="C44" s="113" t="s">
        <v>656</v>
      </c>
      <c r="D44" s="113" t="s">
        <v>547</v>
      </c>
      <c r="E44" s="114">
        <v>42276.0</v>
      </c>
      <c r="F44" s="113" t="s">
        <v>548</v>
      </c>
      <c r="G44" s="115">
        <v>10.0</v>
      </c>
      <c r="H44" s="115">
        <v>4787.0</v>
      </c>
      <c r="I44" s="115">
        <v>95.74</v>
      </c>
      <c r="J44" s="115">
        <v>4691.26</v>
      </c>
      <c r="K44" s="115">
        <v>1.29</v>
      </c>
      <c r="L44" s="115">
        <v>4690.26</v>
      </c>
      <c r="M44" s="115">
        <v>0.0</v>
      </c>
      <c r="N44" s="115">
        <v>1.0</v>
      </c>
      <c r="O44" s="116">
        <f t="shared" si="4"/>
        <v>96.74</v>
      </c>
    </row>
    <row r="45">
      <c r="A45" s="112">
        <v>5.0</v>
      </c>
      <c r="B45" s="113" t="s">
        <v>152</v>
      </c>
      <c r="C45" s="113" t="s">
        <v>657</v>
      </c>
      <c r="D45" s="113" t="s">
        <v>547</v>
      </c>
      <c r="E45" s="114">
        <v>42978.0</v>
      </c>
      <c r="F45" s="113" t="s">
        <v>548</v>
      </c>
      <c r="G45" s="115">
        <v>10.0</v>
      </c>
      <c r="H45" s="115">
        <v>15830.0</v>
      </c>
      <c r="I45" s="115">
        <v>316.6</v>
      </c>
      <c r="J45" s="115">
        <v>15513.4</v>
      </c>
      <c r="K45" s="115">
        <v>4.25</v>
      </c>
      <c r="L45" s="115">
        <v>13402.79</v>
      </c>
      <c r="M45" s="115">
        <v>901.0</v>
      </c>
      <c r="N45" s="115">
        <v>1209.61</v>
      </c>
      <c r="O45" s="116">
        <f t="shared" si="4"/>
        <v>1526.21</v>
      </c>
    </row>
    <row r="46">
      <c r="A46" s="112">
        <v>6.0</v>
      </c>
      <c r="B46" s="113" t="s">
        <v>625</v>
      </c>
      <c r="C46" s="113" t="s">
        <v>658</v>
      </c>
      <c r="D46" s="113" t="s">
        <v>559</v>
      </c>
      <c r="E46" s="114">
        <v>43909.0</v>
      </c>
      <c r="F46" s="113" t="s">
        <v>574</v>
      </c>
      <c r="G46" s="115">
        <v>5.0</v>
      </c>
      <c r="H46" s="115">
        <v>3890.0</v>
      </c>
      <c r="I46" s="115">
        <v>77.8</v>
      </c>
      <c r="J46" s="115">
        <v>3812.2</v>
      </c>
      <c r="K46" s="115">
        <v>2.09</v>
      </c>
      <c r="L46" s="115">
        <v>3154.79</v>
      </c>
      <c r="M46" s="115">
        <v>443.08</v>
      </c>
      <c r="N46" s="115">
        <v>214.33</v>
      </c>
      <c r="O46" s="116">
        <f t="shared" si="4"/>
        <v>292.13</v>
      </c>
    </row>
    <row r="47">
      <c r="A47" s="112">
        <v>7.0</v>
      </c>
      <c r="B47" s="113" t="s">
        <v>56</v>
      </c>
      <c r="C47" s="113" t="s">
        <v>659</v>
      </c>
      <c r="D47" s="113" t="s">
        <v>547</v>
      </c>
      <c r="E47" s="114">
        <v>30682.0</v>
      </c>
      <c r="F47" s="113" t="s">
        <v>574</v>
      </c>
      <c r="G47" s="115">
        <v>12.0</v>
      </c>
      <c r="H47" s="115">
        <v>1350.0</v>
      </c>
      <c r="I47" s="115">
        <v>0.0</v>
      </c>
      <c r="J47" s="115">
        <v>1350.0</v>
      </c>
      <c r="K47" s="115">
        <v>0.31</v>
      </c>
      <c r="L47" s="115">
        <v>1349.0</v>
      </c>
      <c r="M47" s="115">
        <v>0.0</v>
      </c>
      <c r="N47" s="115">
        <v>1.0</v>
      </c>
      <c r="O47" s="116">
        <f t="shared" si="4"/>
        <v>1</v>
      </c>
    </row>
    <row r="48">
      <c r="A48" s="112">
        <v>8.0</v>
      </c>
      <c r="B48" s="113" t="s">
        <v>619</v>
      </c>
      <c r="C48" s="113" t="s">
        <v>660</v>
      </c>
      <c r="D48" s="113" t="s">
        <v>478</v>
      </c>
      <c r="E48" s="114">
        <v>41951.0</v>
      </c>
      <c r="F48" s="113" t="s">
        <v>661</v>
      </c>
      <c r="G48" s="115">
        <v>5.0</v>
      </c>
      <c r="H48" s="115">
        <v>4980.0</v>
      </c>
      <c r="I48" s="115">
        <v>0.0</v>
      </c>
      <c r="J48" s="115">
        <v>4980.0</v>
      </c>
      <c r="K48" s="115">
        <v>2.73</v>
      </c>
      <c r="L48" s="115">
        <v>4979.0</v>
      </c>
      <c r="M48" s="115">
        <v>0.0</v>
      </c>
      <c r="N48" s="115">
        <v>1.0</v>
      </c>
      <c r="O48" s="116">
        <f t="shared" si="4"/>
        <v>1</v>
      </c>
    </row>
    <row r="49">
      <c r="A49" s="112">
        <v>9.0</v>
      </c>
      <c r="B49" s="113" t="s">
        <v>625</v>
      </c>
      <c r="C49" s="113" t="s">
        <v>662</v>
      </c>
      <c r="D49" s="113" t="s">
        <v>566</v>
      </c>
      <c r="E49" s="114">
        <v>44244.0</v>
      </c>
      <c r="F49" s="113" t="s">
        <v>567</v>
      </c>
      <c r="G49" s="115">
        <v>5.0</v>
      </c>
      <c r="H49" s="115">
        <v>3890.0</v>
      </c>
      <c r="I49" s="115">
        <v>77.8</v>
      </c>
      <c r="J49" s="115">
        <v>3812.2</v>
      </c>
      <c r="K49" s="115">
        <v>2.09</v>
      </c>
      <c r="L49" s="115">
        <v>2619.24</v>
      </c>
      <c r="M49" s="115">
        <v>443.08</v>
      </c>
      <c r="N49" s="115">
        <v>749.88</v>
      </c>
      <c r="O49" s="116">
        <f t="shared" si="4"/>
        <v>827.68</v>
      </c>
    </row>
    <row r="50">
      <c r="A50" s="112">
        <v>10.0</v>
      </c>
      <c r="B50" s="113" t="s">
        <v>203</v>
      </c>
      <c r="C50" s="113" t="s">
        <v>663</v>
      </c>
      <c r="D50" s="113" t="s">
        <v>570</v>
      </c>
      <c r="E50" s="114">
        <v>28856.0</v>
      </c>
      <c r="F50" s="113" t="s">
        <v>571</v>
      </c>
      <c r="G50" s="115">
        <v>10.0</v>
      </c>
      <c r="H50" s="115">
        <v>100.0</v>
      </c>
      <c r="I50" s="115">
        <v>0.0</v>
      </c>
      <c r="J50" s="115">
        <v>100.0</v>
      </c>
      <c r="K50" s="115">
        <v>0.03</v>
      </c>
      <c r="L50" s="115">
        <v>99.0</v>
      </c>
      <c r="M50" s="115">
        <v>0.0</v>
      </c>
      <c r="N50" s="115">
        <v>1.0</v>
      </c>
      <c r="O50" s="116">
        <f t="shared" si="4"/>
        <v>1</v>
      </c>
    </row>
    <row r="51">
      <c r="A51" s="112">
        <v>11.0</v>
      </c>
      <c r="B51" s="113" t="s">
        <v>619</v>
      </c>
      <c r="C51" s="113" t="s">
        <v>664</v>
      </c>
      <c r="D51" s="113" t="s">
        <v>297</v>
      </c>
      <c r="E51" s="114">
        <v>42325.0</v>
      </c>
      <c r="F51" s="113" t="s">
        <v>665</v>
      </c>
      <c r="G51" s="115">
        <v>5.0</v>
      </c>
      <c r="H51" s="115">
        <v>5000.0</v>
      </c>
      <c r="I51" s="115">
        <v>100.0</v>
      </c>
      <c r="J51" s="115">
        <v>4900.0</v>
      </c>
      <c r="K51" s="115">
        <v>2.68</v>
      </c>
      <c r="L51" s="115">
        <v>4899.0</v>
      </c>
      <c r="M51" s="115">
        <v>0.0</v>
      </c>
      <c r="N51" s="115">
        <v>1.0</v>
      </c>
      <c r="O51" s="116">
        <f t="shared" si="4"/>
        <v>101</v>
      </c>
    </row>
    <row r="52">
      <c r="A52" s="112">
        <v>12.0</v>
      </c>
      <c r="B52" s="113" t="s">
        <v>619</v>
      </c>
      <c r="C52" s="113" t="s">
        <v>666</v>
      </c>
      <c r="D52" s="113" t="s">
        <v>579</v>
      </c>
      <c r="E52" s="114">
        <v>33970.0</v>
      </c>
      <c r="F52" s="113" t="s">
        <v>580</v>
      </c>
      <c r="G52" s="115">
        <v>5.0</v>
      </c>
      <c r="H52" s="115">
        <v>390.0</v>
      </c>
      <c r="I52" s="115">
        <v>0.0</v>
      </c>
      <c r="J52" s="115">
        <v>390.0</v>
      </c>
      <c r="K52" s="115">
        <v>0.21</v>
      </c>
      <c r="L52" s="115">
        <v>389.0</v>
      </c>
      <c r="M52" s="115">
        <v>0.0</v>
      </c>
      <c r="N52" s="115">
        <v>1.0</v>
      </c>
      <c r="O52" s="116">
        <f t="shared" si="4"/>
        <v>1</v>
      </c>
    </row>
    <row r="53">
      <c r="A53" s="112">
        <v>13.0</v>
      </c>
      <c r="B53" s="113" t="s">
        <v>273</v>
      </c>
      <c r="C53" s="113" t="s">
        <v>667</v>
      </c>
      <c r="D53" s="113" t="s">
        <v>305</v>
      </c>
      <c r="E53" s="114">
        <v>39657.0</v>
      </c>
      <c r="F53" s="113" t="s">
        <v>587</v>
      </c>
      <c r="G53" s="115">
        <v>10.0</v>
      </c>
      <c r="H53" s="115">
        <v>1971.43</v>
      </c>
      <c r="I53" s="115">
        <v>0.0</v>
      </c>
      <c r="J53" s="115">
        <v>1971.43</v>
      </c>
      <c r="K53" s="115">
        <v>0.54</v>
      </c>
      <c r="L53" s="115">
        <v>1970.43</v>
      </c>
      <c r="M53" s="115">
        <v>0.0</v>
      </c>
      <c r="N53" s="115">
        <v>1.0</v>
      </c>
      <c r="O53" s="116">
        <f t="shared" si="4"/>
        <v>1</v>
      </c>
    </row>
    <row r="54">
      <c r="A54" s="112">
        <v>14.0</v>
      </c>
      <c r="B54" s="113" t="s">
        <v>668</v>
      </c>
      <c r="C54" s="113" t="s">
        <v>669</v>
      </c>
      <c r="D54" s="113" t="s">
        <v>307</v>
      </c>
      <c r="E54" s="114">
        <v>36262.0</v>
      </c>
      <c r="F54" s="113" t="s">
        <v>593</v>
      </c>
      <c r="G54" s="115">
        <v>5.0</v>
      </c>
      <c r="H54" s="115">
        <v>1524.73</v>
      </c>
      <c r="I54" s="115">
        <v>0.0</v>
      </c>
      <c r="J54" s="115">
        <v>1524.73</v>
      </c>
      <c r="K54" s="115">
        <v>0.84</v>
      </c>
      <c r="L54" s="115">
        <v>1523.73</v>
      </c>
      <c r="M54" s="115">
        <v>0.0</v>
      </c>
      <c r="N54" s="115">
        <v>1.0</v>
      </c>
      <c r="O54" s="116">
        <f t="shared" si="4"/>
        <v>1</v>
      </c>
    </row>
    <row r="55">
      <c r="A55" s="112">
        <v>15.0</v>
      </c>
      <c r="B55" s="113" t="s">
        <v>668</v>
      </c>
      <c r="C55" s="113" t="s">
        <v>670</v>
      </c>
      <c r="D55" s="113" t="s">
        <v>307</v>
      </c>
      <c r="E55" s="114">
        <v>36262.0</v>
      </c>
      <c r="F55" s="113" t="s">
        <v>593</v>
      </c>
      <c r="G55" s="115">
        <v>5.0</v>
      </c>
      <c r="H55" s="115">
        <v>7557.29</v>
      </c>
      <c r="I55" s="115">
        <v>0.0</v>
      </c>
      <c r="J55" s="115">
        <v>7557.29</v>
      </c>
      <c r="K55" s="115">
        <v>4.14</v>
      </c>
      <c r="L55" s="115">
        <v>7556.29</v>
      </c>
      <c r="M55" s="115">
        <v>0.0</v>
      </c>
      <c r="N55" s="115">
        <v>1.0</v>
      </c>
      <c r="O55" s="116">
        <f t="shared" si="4"/>
        <v>1</v>
      </c>
    </row>
    <row r="56">
      <c r="A56" s="112">
        <v>16.0</v>
      </c>
      <c r="B56" s="113" t="s">
        <v>668</v>
      </c>
      <c r="C56" s="113" t="s">
        <v>671</v>
      </c>
      <c r="D56" s="113" t="s">
        <v>307</v>
      </c>
      <c r="E56" s="114">
        <v>36506.0</v>
      </c>
      <c r="F56" s="113" t="s">
        <v>593</v>
      </c>
      <c r="G56" s="115">
        <v>5.0</v>
      </c>
      <c r="H56" s="115">
        <v>7557.29</v>
      </c>
      <c r="I56" s="115">
        <v>0.0</v>
      </c>
      <c r="J56" s="115">
        <v>7557.29</v>
      </c>
      <c r="K56" s="115">
        <v>4.14</v>
      </c>
      <c r="L56" s="115">
        <v>7556.29</v>
      </c>
      <c r="M56" s="115">
        <v>0.0</v>
      </c>
      <c r="N56" s="115">
        <v>1.0</v>
      </c>
      <c r="O56" s="116">
        <f t="shared" si="4"/>
        <v>1</v>
      </c>
    </row>
    <row r="57">
      <c r="A57" s="112">
        <v>17.0</v>
      </c>
      <c r="B57" s="113" t="s">
        <v>668</v>
      </c>
      <c r="C57" s="113" t="s">
        <v>672</v>
      </c>
      <c r="D57" s="113" t="s">
        <v>307</v>
      </c>
      <c r="E57" s="114">
        <v>36367.0</v>
      </c>
      <c r="F57" s="113" t="s">
        <v>593</v>
      </c>
      <c r="G57" s="115">
        <v>5.0</v>
      </c>
      <c r="H57" s="115">
        <v>4928.98</v>
      </c>
      <c r="I57" s="115">
        <v>0.0</v>
      </c>
      <c r="J57" s="115">
        <v>4928.98</v>
      </c>
      <c r="K57" s="115">
        <v>2.7</v>
      </c>
      <c r="L57" s="115">
        <v>4927.98</v>
      </c>
      <c r="M57" s="115">
        <v>0.0</v>
      </c>
      <c r="N57" s="115">
        <v>1.0</v>
      </c>
      <c r="O57" s="116">
        <f t="shared" si="4"/>
        <v>1</v>
      </c>
    </row>
    <row r="58">
      <c r="A58" s="112">
        <v>18.0</v>
      </c>
      <c r="B58" s="113" t="s">
        <v>673</v>
      </c>
      <c r="C58" s="113" t="s">
        <v>674</v>
      </c>
      <c r="D58" s="113" t="s">
        <v>307</v>
      </c>
      <c r="E58" s="114">
        <v>37500.0</v>
      </c>
      <c r="F58" s="113" t="s">
        <v>593</v>
      </c>
      <c r="G58" s="115">
        <v>10.0</v>
      </c>
      <c r="H58" s="115">
        <v>1150.0</v>
      </c>
      <c r="I58" s="115">
        <v>0.0</v>
      </c>
      <c r="J58" s="115">
        <v>1150.0</v>
      </c>
      <c r="K58" s="115">
        <v>0.32</v>
      </c>
      <c r="L58" s="115">
        <v>1149.0</v>
      </c>
      <c r="M58" s="115">
        <v>0.0</v>
      </c>
      <c r="N58" s="115">
        <v>1.0</v>
      </c>
      <c r="O58" s="116">
        <f t="shared" si="4"/>
        <v>1</v>
      </c>
    </row>
    <row r="59">
      <c r="A59" s="112">
        <v>19.0</v>
      </c>
      <c r="B59" s="113" t="s">
        <v>619</v>
      </c>
      <c r="C59" s="113" t="s">
        <v>675</v>
      </c>
      <c r="D59" s="113" t="s">
        <v>307</v>
      </c>
      <c r="E59" s="114">
        <v>39364.0</v>
      </c>
      <c r="F59" s="113" t="s">
        <v>593</v>
      </c>
      <c r="G59" s="115">
        <v>5.0</v>
      </c>
      <c r="H59" s="115">
        <v>2195.0</v>
      </c>
      <c r="I59" s="115">
        <v>0.0</v>
      </c>
      <c r="J59" s="115">
        <v>2195.0</v>
      </c>
      <c r="K59" s="115">
        <v>1.2</v>
      </c>
      <c r="L59" s="115">
        <v>2194.0</v>
      </c>
      <c r="M59" s="115">
        <v>0.0</v>
      </c>
      <c r="N59" s="115">
        <v>1.0</v>
      </c>
      <c r="O59" s="116">
        <f t="shared" si="4"/>
        <v>1</v>
      </c>
    </row>
    <row r="60">
      <c r="A60" s="112">
        <v>20.0</v>
      </c>
      <c r="B60" s="113" t="s">
        <v>619</v>
      </c>
      <c r="C60" s="113" t="s">
        <v>676</v>
      </c>
      <c r="D60" s="113" t="s">
        <v>307</v>
      </c>
      <c r="E60" s="114">
        <v>39364.0</v>
      </c>
      <c r="F60" s="113" t="s">
        <v>593</v>
      </c>
      <c r="G60" s="115">
        <v>5.0</v>
      </c>
      <c r="H60" s="115">
        <v>2195.0</v>
      </c>
      <c r="I60" s="115">
        <v>0.0</v>
      </c>
      <c r="J60" s="115">
        <v>2195.0</v>
      </c>
      <c r="K60" s="115">
        <v>1.2</v>
      </c>
      <c r="L60" s="115">
        <v>2194.0</v>
      </c>
      <c r="M60" s="115">
        <v>0.0</v>
      </c>
      <c r="N60" s="115">
        <v>1.0</v>
      </c>
      <c r="O60" s="116">
        <f t="shared" si="4"/>
        <v>1</v>
      </c>
    </row>
    <row r="61">
      <c r="A61" s="112">
        <v>21.0</v>
      </c>
      <c r="B61" s="113" t="s">
        <v>616</v>
      </c>
      <c r="C61" s="113" t="s">
        <v>677</v>
      </c>
      <c r="D61" s="113" t="s">
        <v>597</v>
      </c>
      <c r="E61" s="114">
        <v>36134.0</v>
      </c>
      <c r="F61" s="113" t="s">
        <v>598</v>
      </c>
      <c r="G61" s="115">
        <v>10.0</v>
      </c>
      <c r="H61" s="115">
        <v>1709.92</v>
      </c>
      <c r="I61" s="115">
        <v>0.0</v>
      </c>
      <c r="J61" s="115">
        <v>1709.92</v>
      </c>
      <c r="K61" s="115">
        <v>0.47</v>
      </c>
      <c r="L61" s="115">
        <v>1708.92</v>
      </c>
      <c r="M61" s="115">
        <v>0.0</v>
      </c>
      <c r="N61" s="115">
        <v>1.0</v>
      </c>
      <c r="O61" s="116">
        <f t="shared" si="4"/>
        <v>1</v>
      </c>
    </row>
    <row r="62">
      <c r="G62" s="122"/>
      <c r="H62" s="122"/>
      <c r="I62" s="122"/>
      <c r="J62" s="122"/>
      <c r="K62" s="122"/>
      <c r="L62" s="122"/>
      <c r="M62" s="122"/>
      <c r="N62" s="122"/>
      <c r="O62" s="105">
        <f>SUM(O4:O61)</f>
        <v>8985.68</v>
      </c>
    </row>
  </sheetData>
  <mergeCells count="5">
    <mergeCell ref="B1:N1"/>
    <mergeCell ref="A2:D2"/>
    <mergeCell ref="A23:D23"/>
    <mergeCell ref="A33:D33"/>
    <mergeCell ref="A40:D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6.5"/>
    <col customWidth="1" min="3" max="3" width="13.0"/>
    <col customWidth="1" min="4" max="4" width="18.5"/>
    <col customWidth="1" min="5" max="5" width="12.75"/>
    <col customWidth="1" min="6" max="6" width="19.5"/>
    <col customWidth="1" min="7" max="7" width="9.0"/>
    <col customWidth="1" min="8" max="8" width="9.88"/>
    <col customWidth="1" min="9" max="9" width="11.38"/>
    <col customWidth="1" min="10" max="10" width="13.75"/>
    <col customWidth="1" min="11" max="11" width="10.38"/>
    <col customWidth="1" min="12" max="12" width="10.88"/>
    <col customWidth="1" min="13" max="13" width="10.75"/>
    <col customWidth="1" min="14" max="14" width="8.38"/>
    <col customWidth="1" min="15" max="15" width="11.5"/>
  </cols>
  <sheetData>
    <row r="1">
      <c r="A1" s="123" t="s">
        <v>678</v>
      </c>
      <c r="O1" s="124"/>
    </row>
    <row r="2">
      <c r="A2" s="67" t="s">
        <v>339</v>
      </c>
      <c r="B2" s="66" t="s">
        <v>340</v>
      </c>
      <c r="C2" s="66" t="s">
        <v>341</v>
      </c>
      <c r="D2" s="66" t="s">
        <v>342</v>
      </c>
      <c r="E2" s="66" t="s">
        <v>343</v>
      </c>
      <c r="F2" s="66" t="s">
        <v>344</v>
      </c>
      <c r="G2" s="67" t="s">
        <v>345</v>
      </c>
      <c r="H2" s="67" t="s">
        <v>346</v>
      </c>
      <c r="I2" s="67" t="s">
        <v>347</v>
      </c>
      <c r="J2" s="67" t="s">
        <v>348</v>
      </c>
      <c r="K2" s="67" t="s">
        <v>349</v>
      </c>
      <c r="L2" s="67" t="s">
        <v>350</v>
      </c>
      <c r="M2" s="67" t="s">
        <v>351</v>
      </c>
      <c r="N2" s="67" t="s">
        <v>352</v>
      </c>
      <c r="O2" s="69" t="s">
        <v>353</v>
      </c>
    </row>
    <row r="3">
      <c r="A3" s="125" t="s">
        <v>208</v>
      </c>
      <c r="B3" s="18"/>
      <c r="C3" s="18"/>
      <c r="D3" s="18"/>
      <c r="E3" s="18"/>
      <c r="F3" s="18"/>
      <c r="G3" s="126"/>
      <c r="H3" s="126"/>
      <c r="I3" s="126"/>
      <c r="J3" s="126"/>
      <c r="K3" s="126"/>
      <c r="L3" s="126"/>
      <c r="M3" s="126"/>
      <c r="N3" s="126"/>
      <c r="O3" s="127"/>
    </row>
    <row r="4">
      <c r="A4" s="89">
        <v>1.0</v>
      </c>
      <c r="B4" s="90" t="s">
        <v>679</v>
      </c>
      <c r="C4" s="90" t="s">
        <v>680</v>
      </c>
      <c r="D4" s="90" t="s">
        <v>208</v>
      </c>
      <c r="E4" s="91">
        <v>42555.0</v>
      </c>
      <c r="F4" s="90" t="s">
        <v>400</v>
      </c>
      <c r="G4" s="93">
        <v>5.0</v>
      </c>
      <c r="H4" s="93">
        <v>11220.0</v>
      </c>
      <c r="I4" s="93">
        <v>0.0</v>
      </c>
      <c r="J4" s="93">
        <v>11220.0</v>
      </c>
      <c r="K4" s="93">
        <v>6.15</v>
      </c>
      <c r="L4" s="93">
        <v>11219.0</v>
      </c>
      <c r="M4" s="93">
        <v>0.0</v>
      </c>
      <c r="N4" s="93">
        <v>1.0</v>
      </c>
      <c r="O4" s="93">
        <f t="shared" ref="O4:O8" si="1">I4+N4</f>
        <v>1</v>
      </c>
    </row>
    <row r="5">
      <c r="A5" s="89">
        <v>2.0</v>
      </c>
      <c r="B5" s="90" t="s">
        <v>681</v>
      </c>
      <c r="C5" s="90" t="s">
        <v>682</v>
      </c>
      <c r="D5" s="90" t="s">
        <v>215</v>
      </c>
      <c r="E5" s="91">
        <v>44196.0</v>
      </c>
      <c r="F5" s="90" t="s">
        <v>214</v>
      </c>
      <c r="G5" s="93">
        <v>5.0</v>
      </c>
      <c r="H5" s="93">
        <v>5353.0</v>
      </c>
      <c r="I5" s="93">
        <v>0.0</v>
      </c>
      <c r="J5" s="93">
        <v>5353.0</v>
      </c>
      <c r="K5" s="93">
        <v>2.93</v>
      </c>
      <c r="L5" s="93">
        <v>4280.73</v>
      </c>
      <c r="M5" s="93">
        <v>621.16</v>
      </c>
      <c r="N5" s="93">
        <v>451.11</v>
      </c>
      <c r="O5" s="93">
        <f t="shared" si="1"/>
        <v>451.11</v>
      </c>
    </row>
    <row r="6">
      <c r="A6" s="89">
        <v>3.0</v>
      </c>
      <c r="B6" s="90" t="s">
        <v>683</v>
      </c>
      <c r="C6" s="90" t="s">
        <v>684</v>
      </c>
      <c r="D6" s="90" t="s">
        <v>215</v>
      </c>
      <c r="E6" s="91">
        <v>44196.0</v>
      </c>
      <c r="F6" s="90" t="s">
        <v>214</v>
      </c>
      <c r="G6" s="93">
        <v>5.0</v>
      </c>
      <c r="H6" s="93">
        <v>6231.0</v>
      </c>
      <c r="I6" s="93">
        <v>0.0</v>
      </c>
      <c r="J6" s="93">
        <v>6231.0</v>
      </c>
      <c r="K6" s="93">
        <v>3.41</v>
      </c>
      <c r="L6" s="93">
        <v>4982.01</v>
      </c>
      <c r="M6" s="93">
        <v>722.92</v>
      </c>
      <c r="N6" s="93">
        <v>526.07</v>
      </c>
      <c r="O6" s="93">
        <f t="shared" si="1"/>
        <v>526.07</v>
      </c>
    </row>
    <row r="7">
      <c r="A7" s="89">
        <v>4.0</v>
      </c>
      <c r="B7" s="90" t="s">
        <v>681</v>
      </c>
      <c r="C7" s="90" t="s">
        <v>685</v>
      </c>
      <c r="D7" s="90" t="s">
        <v>224</v>
      </c>
      <c r="E7" s="91">
        <v>44196.0</v>
      </c>
      <c r="F7" s="90" t="s">
        <v>422</v>
      </c>
      <c r="G7" s="93">
        <v>5.0</v>
      </c>
      <c r="H7" s="93">
        <v>5353.0</v>
      </c>
      <c r="I7" s="93">
        <v>0.0</v>
      </c>
      <c r="J7" s="93">
        <v>5353.0</v>
      </c>
      <c r="K7" s="93">
        <v>2.93</v>
      </c>
      <c r="L7" s="93">
        <v>4280.73</v>
      </c>
      <c r="M7" s="93">
        <v>621.16</v>
      </c>
      <c r="N7" s="93">
        <v>451.11</v>
      </c>
      <c r="O7" s="93">
        <f t="shared" si="1"/>
        <v>451.11</v>
      </c>
    </row>
    <row r="8">
      <c r="A8" s="89">
        <v>5.0</v>
      </c>
      <c r="B8" s="90" t="s">
        <v>681</v>
      </c>
      <c r="C8" s="90" t="s">
        <v>686</v>
      </c>
      <c r="D8" s="90" t="s">
        <v>226</v>
      </c>
      <c r="E8" s="91">
        <v>44196.0</v>
      </c>
      <c r="F8" s="90" t="s">
        <v>387</v>
      </c>
      <c r="G8" s="93">
        <v>5.0</v>
      </c>
      <c r="H8" s="93">
        <v>5353.0</v>
      </c>
      <c r="I8" s="93">
        <v>0.0</v>
      </c>
      <c r="J8" s="93">
        <v>5353.0</v>
      </c>
      <c r="K8" s="93">
        <v>2.93</v>
      </c>
      <c r="L8" s="93">
        <v>4280.73</v>
      </c>
      <c r="M8" s="93">
        <v>621.16</v>
      </c>
      <c r="N8" s="93">
        <v>451.11</v>
      </c>
      <c r="O8" s="93">
        <f t="shared" si="1"/>
        <v>451.11</v>
      </c>
    </row>
    <row r="9">
      <c r="A9" s="128"/>
      <c r="B9" s="102"/>
      <c r="C9" s="129"/>
      <c r="D9" s="129"/>
      <c r="E9" s="130"/>
      <c r="F9" s="129"/>
      <c r="G9" s="128"/>
      <c r="H9" s="128"/>
      <c r="I9" s="128"/>
      <c r="J9" s="128"/>
      <c r="K9" s="128"/>
      <c r="L9" s="128"/>
      <c r="M9" s="128"/>
      <c r="N9" s="128"/>
      <c r="O9" s="101"/>
    </row>
    <row r="10">
      <c r="A10" s="128"/>
      <c r="B10" s="102"/>
      <c r="C10" s="129"/>
      <c r="D10" s="129"/>
      <c r="E10" s="130"/>
      <c r="F10" s="129"/>
      <c r="G10" s="128"/>
      <c r="H10" s="128"/>
      <c r="I10" s="128"/>
      <c r="J10" s="128"/>
      <c r="K10" s="128"/>
      <c r="L10" s="128"/>
      <c r="M10" s="128"/>
      <c r="N10" s="128"/>
      <c r="O10" s="101"/>
    </row>
    <row r="11">
      <c r="A11" s="125" t="s">
        <v>319</v>
      </c>
      <c r="B11" s="18"/>
      <c r="C11" s="18"/>
      <c r="D11" s="18"/>
      <c r="E11" s="18"/>
      <c r="F11" s="18"/>
      <c r="G11" s="126"/>
      <c r="H11" s="126"/>
      <c r="I11" s="126"/>
      <c r="J11" s="126"/>
      <c r="K11" s="126"/>
      <c r="L11" s="126"/>
      <c r="M11" s="126"/>
      <c r="N11" s="126"/>
      <c r="O11" s="127"/>
    </row>
    <row r="12">
      <c r="A12" s="89">
        <v>1.0</v>
      </c>
      <c r="B12" s="90" t="s">
        <v>679</v>
      </c>
      <c r="C12" s="90" t="s">
        <v>687</v>
      </c>
      <c r="D12" s="90" t="s">
        <v>445</v>
      </c>
      <c r="E12" s="91">
        <v>42555.0</v>
      </c>
      <c r="F12" s="90" t="s">
        <v>688</v>
      </c>
      <c r="G12" s="93">
        <v>5.0</v>
      </c>
      <c r="H12" s="93">
        <v>11220.0</v>
      </c>
      <c r="I12" s="93">
        <v>0.0</v>
      </c>
      <c r="J12" s="93">
        <v>11220.0</v>
      </c>
      <c r="K12" s="93">
        <v>6.15</v>
      </c>
      <c r="L12" s="93">
        <v>11219.0</v>
      </c>
      <c r="M12" s="93">
        <v>0.0</v>
      </c>
      <c r="N12" s="93">
        <v>1.0</v>
      </c>
      <c r="O12" s="93">
        <f t="shared" ref="O12:O13" si="2">I12+N12</f>
        <v>1</v>
      </c>
    </row>
    <row r="13">
      <c r="A13" s="89">
        <v>2.0</v>
      </c>
      <c r="B13" s="90" t="s">
        <v>476</v>
      </c>
      <c r="C13" s="90" t="s">
        <v>689</v>
      </c>
      <c r="D13" s="90" t="s">
        <v>190</v>
      </c>
      <c r="E13" s="91">
        <v>43441.0</v>
      </c>
      <c r="F13" s="90" t="s">
        <v>492</v>
      </c>
      <c r="G13" s="93">
        <v>5.0</v>
      </c>
      <c r="H13" s="93">
        <v>3950.0</v>
      </c>
      <c r="I13" s="93">
        <v>79.0</v>
      </c>
      <c r="J13" s="93">
        <v>3871.0</v>
      </c>
      <c r="K13" s="93">
        <v>2.12</v>
      </c>
      <c r="L13" s="93">
        <v>3870.0</v>
      </c>
      <c r="M13" s="93">
        <v>0.0</v>
      </c>
      <c r="N13" s="93">
        <v>1.0</v>
      </c>
      <c r="O13" s="93">
        <f t="shared" si="2"/>
        <v>80</v>
      </c>
    </row>
    <row r="14">
      <c r="A14" s="128"/>
      <c r="B14" s="102"/>
      <c r="C14" s="129"/>
      <c r="D14" s="129"/>
      <c r="E14" s="130"/>
      <c r="F14" s="129"/>
      <c r="G14" s="128"/>
      <c r="H14" s="128"/>
      <c r="I14" s="128"/>
      <c r="J14" s="128"/>
      <c r="K14" s="128"/>
      <c r="L14" s="128"/>
      <c r="M14" s="128"/>
      <c r="N14" s="128"/>
      <c r="O14" s="101"/>
    </row>
    <row r="15">
      <c r="A15" s="128"/>
      <c r="B15" s="102"/>
      <c r="C15" s="129"/>
      <c r="D15" s="129"/>
      <c r="E15" s="130"/>
      <c r="F15" s="129"/>
      <c r="G15" s="128"/>
      <c r="H15" s="128"/>
      <c r="I15" s="128"/>
      <c r="J15" s="128"/>
      <c r="K15" s="128"/>
      <c r="L15" s="128"/>
      <c r="M15" s="128"/>
      <c r="N15" s="128"/>
      <c r="O15" s="101"/>
    </row>
    <row r="16">
      <c r="A16" s="125" t="s">
        <v>544</v>
      </c>
      <c r="B16" s="18"/>
      <c r="C16" s="18"/>
      <c r="D16" s="18"/>
      <c r="E16" s="18"/>
      <c r="F16" s="18"/>
      <c r="G16" s="126"/>
      <c r="H16" s="126"/>
      <c r="I16" s="126"/>
      <c r="J16" s="126"/>
      <c r="K16" s="126"/>
      <c r="L16" s="126"/>
      <c r="M16" s="126"/>
      <c r="N16" s="126"/>
      <c r="O16" s="127"/>
    </row>
    <row r="17">
      <c r="A17" s="89">
        <v>1.0</v>
      </c>
      <c r="B17" s="90" t="s">
        <v>679</v>
      </c>
      <c r="C17" s="90" t="s">
        <v>690</v>
      </c>
      <c r="D17" s="90" t="s">
        <v>249</v>
      </c>
      <c r="E17" s="91">
        <v>42555.0</v>
      </c>
      <c r="F17" s="90" t="s">
        <v>498</v>
      </c>
      <c r="G17" s="93">
        <v>5.0</v>
      </c>
      <c r="H17" s="93">
        <v>11220.0</v>
      </c>
      <c r="I17" s="93">
        <v>0.0</v>
      </c>
      <c r="J17" s="93">
        <v>11220.0</v>
      </c>
      <c r="K17" s="93">
        <v>6.15</v>
      </c>
      <c r="L17" s="93">
        <v>11219.0</v>
      </c>
      <c r="M17" s="93">
        <v>0.0</v>
      </c>
      <c r="N17" s="93">
        <v>1.0</v>
      </c>
      <c r="O17" s="93">
        <f t="shared" ref="O17:O24" si="3">I17+N17</f>
        <v>1</v>
      </c>
    </row>
    <row r="18">
      <c r="A18" s="89">
        <v>2.0</v>
      </c>
      <c r="B18" s="90" t="s">
        <v>429</v>
      </c>
      <c r="C18" s="90" t="s">
        <v>691</v>
      </c>
      <c r="D18" s="90" t="s">
        <v>249</v>
      </c>
      <c r="E18" s="91">
        <v>42600.0</v>
      </c>
      <c r="F18" s="90" t="s">
        <v>498</v>
      </c>
      <c r="G18" s="93">
        <v>5.0</v>
      </c>
      <c r="H18" s="93">
        <v>37490.0</v>
      </c>
      <c r="I18" s="93">
        <v>749.8</v>
      </c>
      <c r="J18" s="93">
        <v>36740.2</v>
      </c>
      <c r="K18" s="93">
        <v>0.0</v>
      </c>
      <c r="L18" s="93">
        <v>36739.2</v>
      </c>
      <c r="M18" s="93">
        <v>0.0</v>
      </c>
      <c r="N18" s="93">
        <v>1.0</v>
      </c>
      <c r="O18" s="93">
        <f t="shared" si="3"/>
        <v>750.8</v>
      </c>
    </row>
    <row r="19">
      <c r="A19" s="89">
        <v>3.0</v>
      </c>
      <c r="B19" s="90" t="s">
        <v>476</v>
      </c>
      <c r="C19" s="90" t="s">
        <v>692</v>
      </c>
      <c r="D19" s="90" t="s">
        <v>515</v>
      </c>
      <c r="E19" s="91">
        <v>43347.0</v>
      </c>
      <c r="F19" s="90" t="s">
        <v>516</v>
      </c>
      <c r="G19" s="93">
        <v>5.0</v>
      </c>
      <c r="H19" s="93">
        <v>3950.0</v>
      </c>
      <c r="I19" s="93">
        <v>79.0</v>
      </c>
      <c r="J19" s="93">
        <v>3871.0</v>
      </c>
      <c r="K19" s="93">
        <v>2.12</v>
      </c>
      <c r="L19" s="93">
        <v>3870.0</v>
      </c>
      <c r="M19" s="93">
        <v>0.0</v>
      </c>
      <c r="N19" s="93">
        <v>1.0</v>
      </c>
      <c r="O19" s="93">
        <f t="shared" si="3"/>
        <v>80</v>
      </c>
    </row>
    <row r="20">
      <c r="A20" s="89">
        <v>4.0</v>
      </c>
      <c r="B20" s="90" t="s">
        <v>429</v>
      </c>
      <c r="C20" s="90" t="s">
        <v>693</v>
      </c>
      <c r="D20" s="90" t="s">
        <v>515</v>
      </c>
      <c r="E20" s="91">
        <v>42600.0</v>
      </c>
      <c r="F20" s="90" t="s">
        <v>516</v>
      </c>
      <c r="G20" s="93">
        <v>5.0</v>
      </c>
      <c r="H20" s="93">
        <v>37490.0</v>
      </c>
      <c r="I20" s="93">
        <v>749.8</v>
      </c>
      <c r="J20" s="93">
        <v>36740.2</v>
      </c>
      <c r="K20" s="93">
        <v>20.13</v>
      </c>
      <c r="L20" s="93">
        <v>36739.2</v>
      </c>
      <c r="M20" s="93">
        <v>0.0</v>
      </c>
      <c r="N20" s="93">
        <v>1.0</v>
      </c>
      <c r="O20" s="93">
        <f t="shared" si="3"/>
        <v>750.8</v>
      </c>
    </row>
    <row r="21">
      <c r="A21" s="89">
        <v>5.0</v>
      </c>
      <c r="B21" s="90" t="s">
        <v>476</v>
      </c>
      <c r="C21" s="90" t="s">
        <v>694</v>
      </c>
      <c r="D21" s="90" t="s">
        <v>520</v>
      </c>
      <c r="E21" s="91">
        <v>43347.0</v>
      </c>
      <c r="F21" s="90" t="s">
        <v>521</v>
      </c>
      <c r="G21" s="93">
        <v>5.0</v>
      </c>
      <c r="H21" s="93">
        <v>3950.0</v>
      </c>
      <c r="I21" s="93">
        <v>79.0</v>
      </c>
      <c r="J21" s="93">
        <v>3871.0</v>
      </c>
      <c r="K21" s="93">
        <v>2.12</v>
      </c>
      <c r="L21" s="93">
        <v>3870.0</v>
      </c>
      <c r="M21" s="93">
        <v>0.0</v>
      </c>
      <c r="N21" s="93">
        <v>1.0</v>
      </c>
      <c r="O21" s="93">
        <f t="shared" si="3"/>
        <v>80</v>
      </c>
    </row>
    <row r="22">
      <c r="A22" s="89">
        <v>6.0</v>
      </c>
      <c r="B22" s="90" t="s">
        <v>681</v>
      </c>
      <c r="C22" s="90" t="s">
        <v>695</v>
      </c>
      <c r="D22" s="90" t="s">
        <v>520</v>
      </c>
      <c r="E22" s="91">
        <v>44196.0</v>
      </c>
      <c r="F22" s="90" t="s">
        <v>521</v>
      </c>
      <c r="G22" s="93">
        <v>5.0</v>
      </c>
      <c r="H22" s="93">
        <v>5353.0</v>
      </c>
      <c r="I22" s="93">
        <v>0.0</v>
      </c>
      <c r="J22" s="93">
        <v>5353.0</v>
      </c>
      <c r="K22" s="93">
        <v>2.93</v>
      </c>
      <c r="L22" s="93">
        <v>4280.73</v>
      </c>
      <c r="M22" s="93">
        <v>621.16</v>
      </c>
      <c r="N22" s="93">
        <v>451.11</v>
      </c>
      <c r="O22" s="93">
        <f t="shared" si="3"/>
        <v>451.11</v>
      </c>
    </row>
    <row r="23">
      <c r="A23" s="89">
        <v>7.0</v>
      </c>
      <c r="B23" s="90" t="s">
        <v>679</v>
      </c>
      <c r="C23" s="90" t="s">
        <v>696</v>
      </c>
      <c r="D23" s="90" t="s">
        <v>526</v>
      </c>
      <c r="E23" s="91">
        <v>42555.0</v>
      </c>
      <c r="F23" s="90" t="s">
        <v>527</v>
      </c>
      <c r="G23" s="93">
        <v>5.0</v>
      </c>
      <c r="H23" s="93">
        <v>11220.0</v>
      </c>
      <c r="I23" s="93">
        <v>0.0</v>
      </c>
      <c r="J23" s="93">
        <v>11220.0</v>
      </c>
      <c r="K23" s="93">
        <v>6.15</v>
      </c>
      <c r="L23" s="93">
        <v>11219.0</v>
      </c>
      <c r="M23" s="93">
        <v>0.0</v>
      </c>
      <c r="N23" s="93">
        <v>1.0</v>
      </c>
      <c r="O23" s="93">
        <f t="shared" si="3"/>
        <v>1</v>
      </c>
    </row>
    <row r="24">
      <c r="A24" s="89">
        <v>8.0</v>
      </c>
      <c r="B24" s="90" t="s">
        <v>681</v>
      </c>
      <c r="C24" s="90" t="s">
        <v>697</v>
      </c>
      <c r="D24" s="90" t="s">
        <v>534</v>
      </c>
      <c r="E24" s="91">
        <v>44196.0</v>
      </c>
      <c r="F24" s="90" t="s">
        <v>535</v>
      </c>
      <c r="G24" s="93">
        <v>5.0</v>
      </c>
      <c r="H24" s="93">
        <v>5353.0</v>
      </c>
      <c r="I24" s="93">
        <v>0.0</v>
      </c>
      <c r="J24" s="93">
        <v>5353.0</v>
      </c>
      <c r="K24" s="93">
        <v>2.93</v>
      </c>
      <c r="L24" s="93">
        <v>4280.73</v>
      </c>
      <c r="M24" s="93">
        <v>621.16</v>
      </c>
      <c r="N24" s="93">
        <v>451.11</v>
      </c>
      <c r="O24" s="93">
        <f t="shared" si="3"/>
        <v>451.11</v>
      </c>
    </row>
    <row r="25">
      <c r="A25" s="128"/>
      <c r="B25" s="102"/>
      <c r="C25" s="129"/>
      <c r="D25" s="129"/>
      <c r="E25" s="130"/>
      <c r="F25" s="129"/>
      <c r="G25" s="128"/>
      <c r="H25" s="128"/>
      <c r="I25" s="128"/>
      <c r="J25" s="128"/>
      <c r="K25" s="128"/>
      <c r="L25" s="128"/>
      <c r="M25" s="128"/>
      <c r="N25" s="128"/>
      <c r="O25" s="101"/>
    </row>
    <row r="26">
      <c r="A26" s="128"/>
      <c r="B26" s="102"/>
      <c r="C26" s="129"/>
      <c r="D26" s="129"/>
      <c r="E26" s="130"/>
      <c r="F26" s="129"/>
      <c r="G26" s="128"/>
      <c r="H26" s="128"/>
      <c r="I26" s="128"/>
      <c r="J26" s="128"/>
      <c r="K26" s="128"/>
      <c r="L26" s="128"/>
      <c r="M26" s="128"/>
      <c r="N26" s="128"/>
      <c r="O26" s="101"/>
    </row>
    <row r="27">
      <c r="A27" s="125" t="s">
        <v>698</v>
      </c>
      <c r="B27" s="18"/>
      <c r="C27" s="18"/>
      <c r="D27" s="18"/>
      <c r="E27" s="18"/>
      <c r="F27" s="18"/>
      <c r="G27" s="126"/>
      <c r="H27" s="126"/>
      <c r="I27" s="126"/>
      <c r="J27" s="126"/>
      <c r="K27" s="126"/>
      <c r="L27" s="126"/>
      <c r="M27" s="126"/>
      <c r="N27" s="126"/>
      <c r="O27" s="127"/>
    </row>
    <row r="28">
      <c r="A28" s="89">
        <v>1.0</v>
      </c>
      <c r="B28" s="90" t="s">
        <v>476</v>
      </c>
      <c r="C28" s="90" t="s">
        <v>699</v>
      </c>
      <c r="D28" s="90" t="s">
        <v>547</v>
      </c>
      <c r="E28" s="91">
        <v>42555.0</v>
      </c>
      <c r="F28" s="90" t="s">
        <v>548</v>
      </c>
      <c r="G28" s="93">
        <v>5.0</v>
      </c>
      <c r="H28" s="93">
        <v>11220.0</v>
      </c>
      <c r="I28" s="93">
        <v>224.4</v>
      </c>
      <c r="J28" s="93">
        <v>10995.6</v>
      </c>
      <c r="K28" s="93">
        <v>6.02</v>
      </c>
      <c r="L28" s="93">
        <v>10994.6</v>
      </c>
      <c r="M28" s="93">
        <v>0.0</v>
      </c>
      <c r="N28" s="93">
        <v>1.0</v>
      </c>
      <c r="O28" s="93">
        <f t="shared" ref="O28:O43" si="4">I28+N28</f>
        <v>225.4</v>
      </c>
    </row>
    <row r="29">
      <c r="A29" s="89">
        <v>2.0</v>
      </c>
      <c r="B29" s="90" t="s">
        <v>476</v>
      </c>
      <c r="C29" s="90" t="s">
        <v>700</v>
      </c>
      <c r="D29" s="90" t="s">
        <v>547</v>
      </c>
      <c r="E29" s="91">
        <v>42555.0</v>
      </c>
      <c r="F29" s="90" t="s">
        <v>548</v>
      </c>
      <c r="G29" s="93">
        <v>5.0</v>
      </c>
      <c r="H29" s="93">
        <v>11220.0</v>
      </c>
      <c r="I29" s="93">
        <v>224.4</v>
      </c>
      <c r="J29" s="93">
        <v>10995.6</v>
      </c>
      <c r="K29" s="93">
        <v>6.02</v>
      </c>
      <c r="L29" s="93">
        <v>10994.6</v>
      </c>
      <c r="M29" s="93">
        <v>0.0</v>
      </c>
      <c r="N29" s="93">
        <v>1.0</v>
      </c>
      <c r="O29" s="93">
        <f t="shared" si="4"/>
        <v>225.4</v>
      </c>
    </row>
    <row r="30">
      <c r="A30" s="89">
        <v>3.0</v>
      </c>
      <c r="B30" s="90" t="s">
        <v>701</v>
      </c>
      <c r="C30" s="90" t="s">
        <v>702</v>
      </c>
      <c r="D30" s="90" t="s">
        <v>547</v>
      </c>
      <c r="E30" s="91">
        <v>42555.0</v>
      </c>
      <c r="F30" s="90" t="s">
        <v>548</v>
      </c>
      <c r="G30" s="93">
        <v>5.0</v>
      </c>
      <c r="H30" s="93">
        <v>11220.0</v>
      </c>
      <c r="I30" s="93">
        <v>224.4</v>
      </c>
      <c r="J30" s="93">
        <v>10995.6</v>
      </c>
      <c r="K30" s="93">
        <v>6.02</v>
      </c>
      <c r="L30" s="93">
        <v>10994.6</v>
      </c>
      <c r="M30" s="93">
        <v>0.0</v>
      </c>
      <c r="N30" s="93">
        <v>1.0</v>
      </c>
      <c r="O30" s="93">
        <f t="shared" si="4"/>
        <v>225.4</v>
      </c>
    </row>
    <row r="31">
      <c r="A31" s="89">
        <v>4.0</v>
      </c>
      <c r="B31" s="90" t="s">
        <v>679</v>
      </c>
      <c r="C31" s="90" t="s">
        <v>703</v>
      </c>
      <c r="D31" s="90" t="s">
        <v>547</v>
      </c>
      <c r="E31" s="91">
        <v>42555.0</v>
      </c>
      <c r="F31" s="90" t="s">
        <v>548</v>
      </c>
      <c r="G31" s="93">
        <v>5.0</v>
      </c>
      <c r="H31" s="93">
        <v>11220.0</v>
      </c>
      <c r="I31" s="93">
        <v>0.0</v>
      </c>
      <c r="J31" s="93">
        <v>11220.0</v>
      </c>
      <c r="K31" s="93">
        <v>6.15</v>
      </c>
      <c r="L31" s="93">
        <v>11219.0</v>
      </c>
      <c r="M31" s="93">
        <v>0.0</v>
      </c>
      <c r="N31" s="93">
        <v>1.0</v>
      </c>
      <c r="O31" s="93">
        <f t="shared" si="4"/>
        <v>1</v>
      </c>
    </row>
    <row r="32">
      <c r="A32" s="89">
        <v>5.0</v>
      </c>
      <c r="B32" s="90" t="s">
        <v>476</v>
      </c>
      <c r="C32" s="90" t="s">
        <v>704</v>
      </c>
      <c r="D32" s="90" t="s">
        <v>547</v>
      </c>
      <c r="E32" s="91">
        <v>43347.0</v>
      </c>
      <c r="F32" s="90" t="s">
        <v>548</v>
      </c>
      <c r="G32" s="93">
        <v>5.0</v>
      </c>
      <c r="H32" s="93">
        <v>3950.0</v>
      </c>
      <c r="I32" s="93">
        <v>79.0</v>
      </c>
      <c r="J32" s="93">
        <v>3871.0</v>
      </c>
      <c r="K32" s="93">
        <v>2.12</v>
      </c>
      <c r="L32" s="93">
        <v>3870.0</v>
      </c>
      <c r="M32" s="93">
        <v>0.0</v>
      </c>
      <c r="N32" s="93">
        <v>1.0</v>
      </c>
      <c r="O32" s="93">
        <f t="shared" si="4"/>
        <v>80</v>
      </c>
    </row>
    <row r="33">
      <c r="A33" s="89">
        <v>6.0</v>
      </c>
      <c r="B33" s="90" t="s">
        <v>476</v>
      </c>
      <c r="C33" s="90" t="s">
        <v>705</v>
      </c>
      <c r="D33" s="90" t="s">
        <v>547</v>
      </c>
      <c r="E33" s="91">
        <v>43347.0</v>
      </c>
      <c r="F33" s="90" t="s">
        <v>548</v>
      </c>
      <c r="G33" s="93">
        <v>5.0</v>
      </c>
      <c r="H33" s="93">
        <v>3950.0</v>
      </c>
      <c r="I33" s="93">
        <v>79.0</v>
      </c>
      <c r="J33" s="93">
        <v>3871.0</v>
      </c>
      <c r="K33" s="93">
        <v>2.12</v>
      </c>
      <c r="L33" s="93">
        <v>3870.0</v>
      </c>
      <c r="M33" s="93">
        <v>0.0</v>
      </c>
      <c r="N33" s="93">
        <v>1.0</v>
      </c>
      <c r="O33" s="93">
        <f t="shared" si="4"/>
        <v>80</v>
      </c>
    </row>
    <row r="34">
      <c r="A34" s="89">
        <v>7.0</v>
      </c>
      <c r="B34" s="90" t="s">
        <v>681</v>
      </c>
      <c r="C34" s="90" t="s">
        <v>706</v>
      </c>
      <c r="D34" s="90" t="s">
        <v>559</v>
      </c>
      <c r="E34" s="91">
        <v>44196.0</v>
      </c>
      <c r="F34" s="90" t="s">
        <v>560</v>
      </c>
      <c r="G34" s="93">
        <v>5.0</v>
      </c>
      <c r="H34" s="93">
        <v>5353.0</v>
      </c>
      <c r="I34" s="93">
        <v>0.0</v>
      </c>
      <c r="J34" s="93">
        <v>5353.0</v>
      </c>
      <c r="K34" s="93">
        <v>2.93</v>
      </c>
      <c r="L34" s="93">
        <v>4280.73</v>
      </c>
      <c r="M34" s="93">
        <v>621.16</v>
      </c>
      <c r="N34" s="93">
        <v>451.11</v>
      </c>
      <c r="O34" s="93">
        <f t="shared" si="4"/>
        <v>451.11</v>
      </c>
    </row>
    <row r="35">
      <c r="A35" s="89">
        <v>8.0</v>
      </c>
      <c r="B35" s="90" t="s">
        <v>683</v>
      </c>
      <c r="C35" s="90" t="s">
        <v>707</v>
      </c>
      <c r="D35" s="90" t="s">
        <v>559</v>
      </c>
      <c r="E35" s="91">
        <v>44196.0</v>
      </c>
      <c r="F35" s="90" t="s">
        <v>560</v>
      </c>
      <c r="G35" s="93">
        <v>5.0</v>
      </c>
      <c r="H35" s="93">
        <v>6231.0</v>
      </c>
      <c r="I35" s="93">
        <v>0.0</v>
      </c>
      <c r="J35" s="93">
        <v>6231.0</v>
      </c>
      <c r="K35" s="93">
        <v>3.41</v>
      </c>
      <c r="L35" s="93">
        <v>4982.01</v>
      </c>
      <c r="M35" s="93">
        <v>722.92</v>
      </c>
      <c r="N35" s="93">
        <v>526.07</v>
      </c>
      <c r="O35" s="93">
        <f t="shared" si="4"/>
        <v>526.07</v>
      </c>
    </row>
    <row r="36">
      <c r="A36" s="89">
        <v>9.0</v>
      </c>
      <c r="B36" s="90" t="s">
        <v>679</v>
      </c>
      <c r="C36" s="90" t="s">
        <v>708</v>
      </c>
      <c r="D36" s="90" t="s">
        <v>559</v>
      </c>
      <c r="E36" s="91">
        <v>42555.0</v>
      </c>
      <c r="F36" s="90" t="s">
        <v>560</v>
      </c>
      <c r="G36" s="93">
        <v>5.0</v>
      </c>
      <c r="H36" s="93">
        <v>11220.0</v>
      </c>
      <c r="I36" s="93">
        <v>0.0</v>
      </c>
      <c r="J36" s="93">
        <v>11220.0</v>
      </c>
      <c r="K36" s="93">
        <v>6.15</v>
      </c>
      <c r="L36" s="93">
        <v>11219.0</v>
      </c>
      <c r="M36" s="93">
        <v>0.0</v>
      </c>
      <c r="N36" s="93">
        <v>1.0</v>
      </c>
      <c r="O36" s="93">
        <f t="shared" si="4"/>
        <v>1</v>
      </c>
    </row>
    <row r="37">
      <c r="A37" s="89">
        <v>10.0</v>
      </c>
      <c r="B37" s="90" t="s">
        <v>476</v>
      </c>
      <c r="C37" s="90" t="s">
        <v>709</v>
      </c>
      <c r="D37" s="90" t="s">
        <v>566</v>
      </c>
      <c r="E37" s="91">
        <v>43347.0</v>
      </c>
      <c r="F37" s="90" t="s">
        <v>567</v>
      </c>
      <c r="G37" s="93">
        <v>5.0</v>
      </c>
      <c r="H37" s="93">
        <v>3950.0</v>
      </c>
      <c r="I37" s="93">
        <v>79.0</v>
      </c>
      <c r="J37" s="93">
        <v>3871.0</v>
      </c>
      <c r="K37" s="93">
        <v>2.12</v>
      </c>
      <c r="L37" s="93">
        <v>3870.0</v>
      </c>
      <c r="M37" s="93">
        <v>0.0</v>
      </c>
      <c r="N37" s="93">
        <v>1.0</v>
      </c>
      <c r="O37" s="93">
        <f t="shared" si="4"/>
        <v>80</v>
      </c>
    </row>
    <row r="38">
      <c r="A38" s="89">
        <v>11.0</v>
      </c>
      <c r="B38" s="90" t="s">
        <v>681</v>
      </c>
      <c r="C38" s="90" t="s">
        <v>710</v>
      </c>
      <c r="D38" s="90" t="s">
        <v>570</v>
      </c>
      <c r="E38" s="91">
        <v>44196.0</v>
      </c>
      <c r="F38" s="90" t="s">
        <v>571</v>
      </c>
      <c r="G38" s="93">
        <v>5.0</v>
      </c>
      <c r="H38" s="93">
        <v>5353.0</v>
      </c>
      <c r="I38" s="93">
        <v>0.0</v>
      </c>
      <c r="J38" s="93">
        <v>5353.0</v>
      </c>
      <c r="K38" s="93">
        <v>2.93</v>
      </c>
      <c r="L38" s="93">
        <v>4280.73</v>
      </c>
      <c r="M38" s="93">
        <v>621.16</v>
      </c>
      <c r="N38" s="93">
        <v>451.11</v>
      </c>
      <c r="O38" s="93">
        <f t="shared" si="4"/>
        <v>451.11</v>
      </c>
    </row>
    <row r="39">
      <c r="A39" s="89">
        <v>12.0</v>
      </c>
      <c r="B39" s="90" t="s">
        <v>683</v>
      </c>
      <c r="C39" s="90" t="s">
        <v>711</v>
      </c>
      <c r="D39" s="90" t="s">
        <v>570</v>
      </c>
      <c r="E39" s="91">
        <v>44196.0</v>
      </c>
      <c r="F39" s="90" t="s">
        <v>571</v>
      </c>
      <c r="G39" s="93">
        <v>5.0</v>
      </c>
      <c r="H39" s="93">
        <v>6231.0</v>
      </c>
      <c r="I39" s="93">
        <v>0.0</v>
      </c>
      <c r="J39" s="93">
        <v>6231.0</v>
      </c>
      <c r="K39" s="93">
        <v>3.41</v>
      </c>
      <c r="L39" s="93">
        <v>4982.01</v>
      </c>
      <c r="M39" s="93">
        <v>722.92</v>
      </c>
      <c r="N39" s="93">
        <v>526.07</v>
      </c>
      <c r="O39" s="93">
        <f t="shared" si="4"/>
        <v>526.07</v>
      </c>
    </row>
    <row r="40">
      <c r="A40" s="89">
        <v>13.0</v>
      </c>
      <c r="B40" s="90" t="s">
        <v>679</v>
      </c>
      <c r="C40" s="90" t="s">
        <v>712</v>
      </c>
      <c r="D40" s="90" t="s">
        <v>297</v>
      </c>
      <c r="E40" s="91">
        <v>42555.0</v>
      </c>
      <c r="F40" s="90" t="s">
        <v>665</v>
      </c>
      <c r="G40" s="93">
        <v>5.0</v>
      </c>
      <c r="H40" s="93">
        <v>11220.0</v>
      </c>
      <c r="I40" s="93">
        <v>0.0</v>
      </c>
      <c r="J40" s="93">
        <v>11220.0</v>
      </c>
      <c r="K40" s="93">
        <v>6.15</v>
      </c>
      <c r="L40" s="93">
        <v>11219.0</v>
      </c>
      <c r="M40" s="93">
        <v>0.0</v>
      </c>
      <c r="N40" s="93">
        <v>1.0</v>
      </c>
      <c r="O40" s="93">
        <f t="shared" si="4"/>
        <v>1</v>
      </c>
    </row>
    <row r="41">
      <c r="A41" s="89">
        <v>14.0</v>
      </c>
      <c r="B41" s="90" t="s">
        <v>476</v>
      </c>
      <c r="C41" s="90" t="s">
        <v>713</v>
      </c>
      <c r="D41" s="90" t="s">
        <v>579</v>
      </c>
      <c r="E41" s="91">
        <v>43347.0</v>
      </c>
      <c r="F41" s="90" t="s">
        <v>580</v>
      </c>
      <c r="G41" s="93">
        <v>5.0</v>
      </c>
      <c r="H41" s="93">
        <v>3950.0</v>
      </c>
      <c r="I41" s="93">
        <v>79.0</v>
      </c>
      <c r="J41" s="93">
        <v>3871.0</v>
      </c>
      <c r="K41" s="93">
        <v>2.12</v>
      </c>
      <c r="L41" s="93">
        <v>3870.0</v>
      </c>
      <c r="M41" s="93">
        <v>0.0</v>
      </c>
      <c r="N41" s="93">
        <v>1.0</v>
      </c>
      <c r="O41" s="93">
        <f t="shared" si="4"/>
        <v>80</v>
      </c>
    </row>
    <row r="42">
      <c r="A42" s="89">
        <v>15.0</v>
      </c>
      <c r="B42" s="90" t="s">
        <v>429</v>
      </c>
      <c r="C42" s="90" t="s">
        <v>714</v>
      </c>
      <c r="D42" s="90" t="s">
        <v>312</v>
      </c>
      <c r="E42" s="91">
        <v>42600.0</v>
      </c>
      <c r="F42" s="90" t="s">
        <v>715</v>
      </c>
      <c r="G42" s="93">
        <v>5.0</v>
      </c>
      <c r="H42" s="93">
        <v>37490.0</v>
      </c>
      <c r="I42" s="93">
        <v>749.8</v>
      </c>
      <c r="J42" s="93">
        <v>36740.2</v>
      </c>
      <c r="K42" s="93">
        <v>20.13</v>
      </c>
      <c r="L42" s="93">
        <v>36739.2</v>
      </c>
      <c r="M42" s="93">
        <v>0.0</v>
      </c>
      <c r="N42" s="93">
        <v>1.0</v>
      </c>
      <c r="O42" s="93">
        <f t="shared" si="4"/>
        <v>750.8</v>
      </c>
    </row>
    <row r="43">
      <c r="A43" s="89">
        <v>16.0</v>
      </c>
      <c r="B43" s="90" t="s">
        <v>716</v>
      </c>
      <c r="C43" s="90" t="s">
        <v>717</v>
      </c>
      <c r="D43" s="90" t="s">
        <v>312</v>
      </c>
      <c r="E43" s="91">
        <v>42600.0</v>
      </c>
      <c r="F43" s="90" t="s">
        <v>715</v>
      </c>
      <c r="G43" s="93">
        <v>5.0</v>
      </c>
      <c r="H43" s="93">
        <v>17390.0</v>
      </c>
      <c r="I43" s="93">
        <v>347.8</v>
      </c>
      <c r="J43" s="93">
        <v>17042.2</v>
      </c>
      <c r="K43" s="93">
        <v>9.34</v>
      </c>
      <c r="L43" s="93">
        <v>17041.2</v>
      </c>
      <c r="M43" s="93">
        <v>0.0</v>
      </c>
      <c r="N43" s="93">
        <v>1.0</v>
      </c>
      <c r="O43" s="93">
        <f t="shared" si="4"/>
        <v>348.8</v>
      </c>
    </row>
    <row r="44">
      <c r="A44" s="101"/>
      <c r="B44" s="102"/>
      <c r="C44" s="102"/>
      <c r="D44" s="102"/>
      <c r="E44" s="102"/>
      <c r="F44" s="102"/>
      <c r="G44" s="101"/>
      <c r="H44" s="101"/>
      <c r="I44" s="101"/>
      <c r="J44" s="101"/>
      <c r="K44" s="101"/>
      <c r="L44" s="101"/>
      <c r="M44" s="101"/>
      <c r="N44" s="101"/>
      <c r="O44" s="131">
        <f>SUM(O4:O43)</f>
        <v>8580.38</v>
      </c>
    </row>
  </sheetData>
  <mergeCells count="5">
    <mergeCell ref="A1:N1"/>
    <mergeCell ref="A3:F3"/>
    <mergeCell ref="A11:F11"/>
    <mergeCell ref="A16:F16"/>
    <mergeCell ref="A27:F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6.75"/>
    <col customWidth="1" min="3" max="3" width="14.38"/>
    <col customWidth="1" min="4" max="4" width="8.5"/>
    <col customWidth="1" min="5" max="5" width="10.5"/>
    <col customWidth="1" min="6" max="6" width="6.75"/>
    <col customWidth="1" min="7" max="7" width="11.25"/>
    <col customWidth="1" min="8" max="8" width="8.0"/>
    <col customWidth="1" min="9" max="9" width="11.25"/>
    <col customWidth="1" min="10" max="10" width="10.25"/>
    <col customWidth="1" min="11" max="11" width="11.0"/>
    <col customWidth="1" min="12" max="12" width="12.0"/>
    <col customWidth="1" min="13" max="13" width="9.38"/>
    <col customWidth="1" min="14" max="14" width="9.88"/>
    <col customWidth="1" min="15" max="15" width="8.88"/>
  </cols>
  <sheetData>
    <row r="1">
      <c r="A1" s="132" t="s">
        <v>718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>
      <c r="A2" s="133" t="s">
        <v>339</v>
      </c>
      <c r="B2" s="133" t="s">
        <v>340</v>
      </c>
      <c r="C2" s="133" t="s">
        <v>341</v>
      </c>
      <c r="D2" s="133" t="s">
        <v>342</v>
      </c>
      <c r="E2" s="134" t="s">
        <v>343</v>
      </c>
      <c r="F2" s="134" t="s">
        <v>345</v>
      </c>
      <c r="G2" s="133" t="s">
        <v>346</v>
      </c>
      <c r="H2" s="134" t="s">
        <v>347</v>
      </c>
      <c r="I2" s="134" t="s">
        <v>348</v>
      </c>
      <c r="J2" s="134" t="s">
        <v>349</v>
      </c>
      <c r="K2" s="134" t="s">
        <v>350</v>
      </c>
      <c r="L2" s="133" t="s">
        <v>351</v>
      </c>
      <c r="M2" s="133" t="s">
        <v>352</v>
      </c>
      <c r="N2" s="135" t="s">
        <v>719</v>
      </c>
      <c r="O2" s="133" t="s">
        <v>720</v>
      </c>
    </row>
    <row r="3">
      <c r="A3" s="136">
        <v>1.0</v>
      </c>
      <c r="B3" s="137" t="s">
        <v>595</v>
      </c>
      <c r="C3" s="136" t="s">
        <v>721</v>
      </c>
      <c r="D3" s="136" t="s">
        <v>384</v>
      </c>
      <c r="E3" s="138">
        <v>34335.0</v>
      </c>
      <c r="F3" s="136">
        <v>5.0</v>
      </c>
      <c r="G3" s="139">
        <v>49360.0</v>
      </c>
      <c r="H3" s="136">
        <v>0.0</v>
      </c>
      <c r="I3" s="139">
        <v>49360.0</v>
      </c>
      <c r="J3" s="136">
        <v>27.05</v>
      </c>
      <c r="K3" s="139">
        <v>49359.0</v>
      </c>
      <c r="L3" s="136">
        <v>0.0</v>
      </c>
      <c r="M3" s="136">
        <v>1.0</v>
      </c>
      <c r="N3" s="140">
        <f t="shared" ref="N3:N101" si="1">H3+M3</f>
        <v>1</v>
      </c>
      <c r="O3" s="136" t="s">
        <v>722</v>
      </c>
    </row>
    <row r="4">
      <c r="A4" s="136">
        <v>2.0</v>
      </c>
      <c r="B4" s="137" t="s">
        <v>429</v>
      </c>
      <c r="C4" s="136" t="s">
        <v>723</v>
      </c>
      <c r="D4" s="136" t="s">
        <v>384</v>
      </c>
      <c r="E4" s="138">
        <v>36795.0</v>
      </c>
      <c r="F4" s="136">
        <v>5.0</v>
      </c>
      <c r="G4" s="139">
        <v>67911.2</v>
      </c>
      <c r="H4" s="136">
        <v>0.0</v>
      </c>
      <c r="I4" s="139">
        <v>67911.2</v>
      </c>
      <c r="J4" s="136">
        <v>37.21</v>
      </c>
      <c r="K4" s="139">
        <v>67910.2</v>
      </c>
      <c r="L4" s="136">
        <v>0.0</v>
      </c>
      <c r="M4" s="136">
        <v>1.0</v>
      </c>
      <c r="N4" s="140">
        <f t="shared" si="1"/>
        <v>1</v>
      </c>
      <c r="O4" s="136" t="s">
        <v>722</v>
      </c>
    </row>
    <row r="5">
      <c r="A5" s="136">
        <v>3.0</v>
      </c>
      <c r="B5" s="137" t="s">
        <v>410</v>
      </c>
      <c r="C5" s="136" t="s">
        <v>724</v>
      </c>
      <c r="D5" s="136" t="s">
        <v>384</v>
      </c>
      <c r="E5" s="138">
        <v>37222.0</v>
      </c>
      <c r="F5" s="136">
        <v>5.0</v>
      </c>
      <c r="G5" s="136">
        <v>800.0</v>
      </c>
      <c r="H5" s="136">
        <v>0.0</v>
      </c>
      <c r="I5" s="136">
        <v>800.0</v>
      </c>
      <c r="J5" s="136">
        <v>0.44</v>
      </c>
      <c r="K5" s="136">
        <v>799.0</v>
      </c>
      <c r="L5" s="136">
        <v>0.0</v>
      </c>
      <c r="M5" s="136">
        <v>1.0</v>
      </c>
      <c r="N5" s="140">
        <f t="shared" si="1"/>
        <v>1</v>
      </c>
      <c r="O5" s="136" t="s">
        <v>722</v>
      </c>
    </row>
    <row r="6">
      <c r="A6" s="136">
        <v>4.0</v>
      </c>
      <c r="B6" s="137" t="s">
        <v>413</v>
      </c>
      <c r="C6" s="136" t="s">
        <v>725</v>
      </c>
      <c r="D6" s="136" t="s">
        <v>384</v>
      </c>
      <c r="E6" s="138">
        <v>37057.0</v>
      </c>
      <c r="F6" s="136">
        <v>5.0</v>
      </c>
      <c r="G6" s="139">
        <v>1800.0</v>
      </c>
      <c r="H6" s="136">
        <v>0.0</v>
      </c>
      <c r="I6" s="139">
        <v>1800.0</v>
      </c>
      <c r="J6" s="136">
        <v>0.99</v>
      </c>
      <c r="K6" s="139">
        <v>1799.0</v>
      </c>
      <c r="L6" s="136">
        <v>0.0</v>
      </c>
      <c r="M6" s="136">
        <v>1.0</v>
      </c>
      <c r="N6" s="140">
        <f t="shared" si="1"/>
        <v>1</v>
      </c>
      <c r="O6" s="136" t="s">
        <v>722</v>
      </c>
    </row>
    <row r="7">
      <c r="A7" s="136">
        <v>5.0</v>
      </c>
      <c r="B7" s="137" t="s">
        <v>429</v>
      </c>
      <c r="C7" s="136" t="s">
        <v>726</v>
      </c>
      <c r="D7" s="136" t="s">
        <v>384</v>
      </c>
      <c r="E7" s="138">
        <v>37918.0</v>
      </c>
      <c r="F7" s="136">
        <v>5.0</v>
      </c>
      <c r="G7" s="139">
        <v>33500.0</v>
      </c>
      <c r="H7" s="136">
        <v>0.0</v>
      </c>
      <c r="I7" s="139">
        <v>33500.0</v>
      </c>
      <c r="J7" s="136">
        <v>18.36</v>
      </c>
      <c r="K7" s="139">
        <v>33499.0</v>
      </c>
      <c r="L7" s="136">
        <v>0.0</v>
      </c>
      <c r="M7" s="136">
        <v>1.0</v>
      </c>
      <c r="N7" s="140">
        <f t="shared" si="1"/>
        <v>1</v>
      </c>
      <c r="O7" s="136" t="s">
        <v>722</v>
      </c>
    </row>
    <row r="8">
      <c r="A8" s="136">
        <v>6.0</v>
      </c>
      <c r="B8" s="137" t="s">
        <v>408</v>
      </c>
      <c r="C8" s="136" t="s">
        <v>727</v>
      </c>
      <c r="D8" s="136" t="s">
        <v>384</v>
      </c>
      <c r="E8" s="138">
        <v>37987.0</v>
      </c>
      <c r="F8" s="136">
        <v>5.0</v>
      </c>
      <c r="G8" s="139">
        <v>6400.0</v>
      </c>
      <c r="H8" s="136">
        <v>0.0</v>
      </c>
      <c r="I8" s="139">
        <v>6400.0</v>
      </c>
      <c r="J8" s="136">
        <v>3.51</v>
      </c>
      <c r="K8" s="139">
        <v>6399.0</v>
      </c>
      <c r="L8" s="136">
        <v>0.0</v>
      </c>
      <c r="M8" s="136">
        <v>1.0</v>
      </c>
      <c r="N8" s="140">
        <f t="shared" si="1"/>
        <v>1</v>
      </c>
      <c r="O8" s="136" t="s">
        <v>722</v>
      </c>
    </row>
    <row r="9">
      <c r="A9" s="136">
        <v>7.0</v>
      </c>
      <c r="B9" s="137" t="s">
        <v>429</v>
      </c>
      <c r="C9" s="136" t="s">
        <v>728</v>
      </c>
      <c r="D9" s="136" t="s">
        <v>384</v>
      </c>
      <c r="E9" s="138">
        <v>38441.0</v>
      </c>
      <c r="F9" s="136">
        <v>5.0</v>
      </c>
      <c r="G9" s="139">
        <v>47800.0</v>
      </c>
      <c r="H9" s="136">
        <v>0.0</v>
      </c>
      <c r="I9" s="139">
        <v>47800.0</v>
      </c>
      <c r="J9" s="136">
        <v>26.19</v>
      </c>
      <c r="K9" s="139">
        <v>47799.0</v>
      </c>
      <c r="L9" s="136">
        <v>0.0</v>
      </c>
      <c r="M9" s="136">
        <v>1.0</v>
      </c>
      <c r="N9" s="140">
        <f t="shared" si="1"/>
        <v>1</v>
      </c>
      <c r="O9" s="136" t="s">
        <v>722</v>
      </c>
    </row>
    <row r="10">
      <c r="A10" s="136">
        <v>8.0</v>
      </c>
      <c r="B10" s="137" t="s">
        <v>395</v>
      </c>
      <c r="C10" s="136" t="s">
        <v>729</v>
      </c>
      <c r="D10" s="136" t="s">
        <v>384</v>
      </c>
      <c r="E10" s="138">
        <v>39262.0</v>
      </c>
      <c r="F10" s="136">
        <v>5.0</v>
      </c>
      <c r="G10" s="139">
        <v>3320.83</v>
      </c>
      <c r="H10" s="136">
        <v>0.0</v>
      </c>
      <c r="I10" s="139">
        <v>3320.83</v>
      </c>
      <c r="J10" s="136">
        <v>1.82</v>
      </c>
      <c r="K10" s="139">
        <v>3319.83</v>
      </c>
      <c r="L10" s="136">
        <v>0.0</v>
      </c>
      <c r="M10" s="136">
        <v>1.0</v>
      </c>
      <c r="N10" s="140">
        <f t="shared" si="1"/>
        <v>1</v>
      </c>
      <c r="O10" s="136" t="s">
        <v>722</v>
      </c>
    </row>
    <row r="11">
      <c r="A11" s="136">
        <v>9.0</v>
      </c>
      <c r="B11" s="137" t="s">
        <v>429</v>
      </c>
      <c r="C11" s="136" t="s">
        <v>730</v>
      </c>
      <c r="D11" s="136" t="s">
        <v>384</v>
      </c>
      <c r="E11" s="138">
        <v>39570.0</v>
      </c>
      <c r="F11" s="136">
        <v>5.0</v>
      </c>
      <c r="G11" s="139">
        <v>40999.0</v>
      </c>
      <c r="H11" s="136">
        <v>0.0</v>
      </c>
      <c r="I11" s="139">
        <v>40999.0</v>
      </c>
      <c r="J11" s="136">
        <v>22.47</v>
      </c>
      <c r="K11" s="139">
        <v>40998.0</v>
      </c>
      <c r="L11" s="136">
        <v>0.0</v>
      </c>
      <c r="M11" s="136">
        <v>1.0</v>
      </c>
      <c r="N11" s="140">
        <f t="shared" si="1"/>
        <v>1</v>
      </c>
      <c r="O11" s="136" t="s">
        <v>722</v>
      </c>
    </row>
    <row r="12">
      <c r="A12" s="136">
        <v>10.0</v>
      </c>
      <c r="B12" s="137" t="s">
        <v>595</v>
      </c>
      <c r="C12" s="136" t="s">
        <v>731</v>
      </c>
      <c r="D12" s="136" t="s">
        <v>384</v>
      </c>
      <c r="E12" s="138">
        <v>39609.0</v>
      </c>
      <c r="F12" s="136">
        <v>5.0</v>
      </c>
      <c r="G12" s="139">
        <v>6351.0</v>
      </c>
      <c r="H12" s="136">
        <v>0.0</v>
      </c>
      <c r="I12" s="139">
        <v>6351.0</v>
      </c>
      <c r="J12" s="136">
        <v>3.48</v>
      </c>
      <c r="K12" s="139">
        <v>6350.0</v>
      </c>
      <c r="L12" s="136">
        <v>0.0</v>
      </c>
      <c r="M12" s="136">
        <v>1.0</v>
      </c>
      <c r="N12" s="140">
        <f t="shared" si="1"/>
        <v>1</v>
      </c>
      <c r="O12" s="136" t="s">
        <v>722</v>
      </c>
    </row>
    <row r="13">
      <c r="A13" s="136">
        <v>11.0</v>
      </c>
      <c r="B13" s="137" t="s">
        <v>595</v>
      </c>
      <c r="C13" s="136" t="s">
        <v>732</v>
      </c>
      <c r="D13" s="136" t="s">
        <v>384</v>
      </c>
      <c r="E13" s="138">
        <v>39951.0</v>
      </c>
      <c r="F13" s="136">
        <v>5.0</v>
      </c>
      <c r="G13" s="139">
        <v>6351.0</v>
      </c>
      <c r="H13" s="136">
        <v>0.0</v>
      </c>
      <c r="I13" s="139">
        <v>6351.0</v>
      </c>
      <c r="J13" s="136">
        <v>3.48</v>
      </c>
      <c r="K13" s="139">
        <v>6350.0</v>
      </c>
      <c r="L13" s="136">
        <v>0.0</v>
      </c>
      <c r="M13" s="136">
        <v>1.0</v>
      </c>
      <c r="N13" s="140">
        <f t="shared" si="1"/>
        <v>1</v>
      </c>
      <c r="O13" s="136" t="s">
        <v>722</v>
      </c>
    </row>
    <row r="14">
      <c r="A14" s="136">
        <v>12.0</v>
      </c>
      <c r="B14" s="137" t="s">
        <v>354</v>
      </c>
      <c r="C14" s="136" t="s">
        <v>733</v>
      </c>
      <c r="D14" s="136" t="s">
        <v>384</v>
      </c>
      <c r="E14" s="138">
        <v>40148.0</v>
      </c>
      <c r="F14" s="136">
        <v>5.0</v>
      </c>
      <c r="G14" s="139">
        <v>1195.0</v>
      </c>
      <c r="H14" s="136">
        <v>0.0</v>
      </c>
      <c r="I14" s="139">
        <v>1195.0</v>
      </c>
      <c r="J14" s="136">
        <v>0.66</v>
      </c>
      <c r="K14" s="139">
        <v>1194.0</v>
      </c>
      <c r="L14" s="136">
        <v>0.0</v>
      </c>
      <c r="M14" s="136">
        <v>1.0</v>
      </c>
      <c r="N14" s="140">
        <f t="shared" si="1"/>
        <v>1</v>
      </c>
      <c r="O14" s="136" t="s">
        <v>722</v>
      </c>
    </row>
    <row r="15">
      <c r="A15" s="136">
        <v>13.0</v>
      </c>
      <c r="B15" s="137" t="s">
        <v>354</v>
      </c>
      <c r="C15" s="136" t="s">
        <v>734</v>
      </c>
      <c r="D15" s="136" t="s">
        <v>384</v>
      </c>
      <c r="E15" s="138">
        <v>40148.0</v>
      </c>
      <c r="F15" s="136">
        <v>5.0</v>
      </c>
      <c r="G15" s="139">
        <v>1195.0</v>
      </c>
      <c r="H15" s="136">
        <v>0.0</v>
      </c>
      <c r="I15" s="139">
        <v>1195.0</v>
      </c>
      <c r="J15" s="136">
        <v>0.65</v>
      </c>
      <c r="K15" s="139">
        <v>1194.0</v>
      </c>
      <c r="L15" s="136">
        <v>0.0</v>
      </c>
      <c r="M15" s="136">
        <v>1.0</v>
      </c>
      <c r="N15" s="140">
        <f t="shared" si="1"/>
        <v>1</v>
      </c>
      <c r="O15" s="136" t="s">
        <v>722</v>
      </c>
    </row>
    <row r="16">
      <c r="A16" s="136">
        <v>14.0</v>
      </c>
      <c r="B16" s="137" t="s">
        <v>448</v>
      </c>
      <c r="C16" s="136" t="s">
        <v>735</v>
      </c>
      <c r="D16" s="136" t="s">
        <v>384</v>
      </c>
      <c r="E16" s="138">
        <v>39998.0</v>
      </c>
      <c r="F16" s="136">
        <v>5.0</v>
      </c>
      <c r="G16" s="136">
        <v>550.0</v>
      </c>
      <c r="H16" s="136">
        <v>0.0</v>
      </c>
      <c r="I16" s="136">
        <v>550.0</v>
      </c>
      <c r="J16" s="136">
        <v>0.3</v>
      </c>
      <c r="K16" s="136">
        <v>549.0</v>
      </c>
      <c r="L16" s="136">
        <v>0.0</v>
      </c>
      <c r="M16" s="136">
        <v>1.0</v>
      </c>
      <c r="N16" s="140">
        <f t="shared" si="1"/>
        <v>1</v>
      </c>
      <c r="O16" s="136" t="s">
        <v>722</v>
      </c>
    </row>
    <row r="17">
      <c r="A17" s="136">
        <v>15.0</v>
      </c>
      <c r="B17" s="137" t="s">
        <v>429</v>
      </c>
      <c r="C17" s="136" t="s">
        <v>736</v>
      </c>
      <c r="D17" s="136" t="s">
        <v>384</v>
      </c>
      <c r="E17" s="138">
        <v>40306.0</v>
      </c>
      <c r="F17" s="136">
        <v>5.0</v>
      </c>
      <c r="G17" s="139">
        <v>34827.0</v>
      </c>
      <c r="H17" s="136">
        <v>0.0</v>
      </c>
      <c r="I17" s="139">
        <v>34827.0</v>
      </c>
      <c r="J17" s="136">
        <v>19.08</v>
      </c>
      <c r="K17" s="139">
        <v>34826.0</v>
      </c>
      <c r="L17" s="136">
        <v>0.0</v>
      </c>
      <c r="M17" s="136">
        <v>1.0</v>
      </c>
      <c r="N17" s="140">
        <f t="shared" si="1"/>
        <v>1</v>
      </c>
      <c r="O17" s="136" t="s">
        <v>722</v>
      </c>
    </row>
    <row r="18">
      <c r="A18" s="136">
        <v>16.0</v>
      </c>
      <c r="B18" s="137" t="s">
        <v>429</v>
      </c>
      <c r="C18" s="136" t="s">
        <v>737</v>
      </c>
      <c r="D18" s="136" t="s">
        <v>384</v>
      </c>
      <c r="E18" s="138">
        <v>40306.0</v>
      </c>
      <c r="F18" s="136">
        <v>5.0</v>
      </c>
      <c r="G18" s="139">
        <v>34827.0</v>
      </c>
      <c r="H18" s="136">
        <v>0.0</v>
      </c>
      <c r="I18" s="139">
        <v>34827.0</v>
      </c>
      <c r="J18" s="136">
        <v>19.08</v>
      </c>
      <c r="K18" s="139">
        <v>34826.0</v>
      </c>
      <c r="L18" s="136">
        <v>0.0</v>
      </c>
      <c r="M18" s="136">
        <v>1.0</v>
      </c>
      <c r="N18" s="140">
        <f t="shared" si="1"/>
        <v>1</v>
      </c>
      <c r="O18" s="136" t="s">
        <v>722</v>
      </c>
    </row>
    <row r="19">
      <c r="A19" s="136">
        <v>17.0</v>
      </c>
      <c r="B19" s="137" t="s">
        <v>429</v>
      </c>
      <c r="C19" s="136" t="s">
        <v>738</v>
      </c>
      <c r="D19" s="136" t="s">
        <v>384</v>
      </c>
      <c r="E19" s="138">
        <v>40235.0</v>
      </c>
      <c r="F19" s="136">
        <v>5.0</v>
      </c>
      <c r="G19" s="139">
        <v>80778.0</v>
      </c>
      <c r="H19" s="136">
        <v>0.0</v>
      </c>
      <c r="I19" s="139">
        <v>80778.0</v>
      </c>
      <c r="J19" s="136">
        <v>44.26</v>
      </c>
      <c r="K19" s="139">
        <v>80777.0</v>
      </c>
      <c r="L19" s="136">
        <v>0.0</v>
      </c>
      <c r="M19" s="136">
        <v>1.0</v>
      </c>
      <c r="N19" s="140">
        <f t="shared" si="1"/>
        <v>1</v>
      </c>
      <c r="O19" s="136" t="s">
        <v>722</v>
      </c>
    </row>
    <row r="20">
      <c r="A20" s="136">
        <v>18.0</v>
      </c>
      <c r="B20" s="137" t="s">
        <v>429</v>
      </c>
      <c r="C20" s="136" t="s">
        <v>739</v>
      </c>
      <c r="D20" s="136" t="s">
        <v>384</v>
      </c>
      <c r="E20" s="138">
        <v>40875.0</v>
      </c>
      <c r="F20" s="136">
        <v>5.0</v>
      </c>
      <c r="G20" s="139">
        <v>26255.0</v>
      </c>
      <c r="H20" s="136">
        <v>0.0</v>
      </c>
      <c r="I20" s="139">
        <v>26255.0</v>
      </c>
      <c r="J20" s="136">
        <v>14.39</v>
      </c>
      <c r="K20" s="139">
        <v>26254.0</v>
      </c>
      <c r="L20" s="136">
        <v>0.0</v>
      </c>
      <c r="M20" s="136">
        <v>1.0</v>
      </c>
      <c r="N20" s="140">
        <f t="shared" si="1"/>
        <v>1</v>
      </c>
      <c r="O20" s="136" t="s">
        <v>722</v>
      </c>
    </row>
    <row r="21">
      <c r="A21" s="136">
        <v>19.0</v>
      </c>
      <c r="B21" s="137" t="s">
        <v>429</v>
      </c>
      <c r="C21" s="136" t="s">
        <v>740</v>
      </c>
      <c r="D21" s="136" t="s">
        <v>384</v>
      </c>
      <c r="E21" s="138">
        <v>40693.0</v>
      </c>
      <c r="F21" s="136">
        <v>5.0</v>
      </c>
      <c r="G21" s="139">
        <v>26255.0</v>
      </c>
      <c r="H21" s="136">
        <v>0.0</v>
      </c>
      <c r="I21" s="139">
        <v>26255.0</v>
      </c>
      <c r="J21" s="136">
        <v>14.39</v>
      </c>
      <c r="K21" s="139">
        <v>26254.0</v>
      </c>
      <c r="L21" s="136">
        <v>0.0</v>
      </c>
      <c r="M21" s="136">
        <v>1.0</v>
      </c>
      <c r="N21" s="140">
        <f t="shared" si="1"/>
        <v>1</v>
      </c>
      <c r="O21" s="136" t="s">
        <v>722</v>
      </c>
    </row>
    <row r="22">
      <c r="A22" s="136">
        <v>20.0</v>
      </c>
      <c r="B22" s="137" t="s">
        <v>410</v>
      </c>
      <c r="C22" s="136" t="s">
        <v>741</v>
      </c>
      <c r="D22" s="136" t="s">
        <v>384</v>
      </c>
      <c r="E22" s="138">
        <v>40905.0</v>
      </c>
      <c r="F22" s="136">
        <v>5.0</v>
      </c>
      <c r="G22" s="139">
        <v>1199.0</v>
      </c>
      <c r="H22" s="136">
        <v>0.0</v>
      </c>
      <c r="I22" s="139">
        <v>1199.0</v>
      </c>
      <c r="J22" s="136">
        <v>0.66</v>
      </c>
      <c r="K22" s="139">
        <v>1198.0</v>
      </c>
      <c r="L22" s="136">
        <v>0.0</v>
      </c>
      <c r="M22" s="136">
        <v>1.0</v>
      </c>
      <c r="N22" s="140">
        <f t="shared" si="1"/>
        <v>1</v>
      </c>
      <c r="O22" s="136" t="s">
        <v>722</v>
      </c>
    </row>
    <row r="23">
      <c r="A23" s="136">
        <v>21.0</v>
      </c>
      <c r="B23" s="137" t="s">
        <v>395</v>
      </c>
      <c r="C23" s="136" t="s">
        <v>742</v>
      </c>
      <c r="D23" s="136" t="s">
        <v>384</v>
      </c>
      <c r="E23" s="138">
        <v>40633.0</v>
      </c>
      <c r="F23" s="136">
        <v>5.0</v>
      </c>
      <c r="G23" s="139">
        <v>6125.0</v>
      </c>
      <c r="H23" s="136">
        <v>0.0</v>
      </c>
      <c r="I23" s="139">
        <v>6125.0</v>
      </c>
      <c r="J23" s="136">
        <v>3.36</v>
      </c>
      <c r="K23" s="139">
        <v>6124.0</v>
      </c>
      <c r="L23" s="136">
        <v>0.0</v>
      </c>
      <c r="M23" s="136">
        <v>1.0</v>
      </c>
      <c r="N23" s="140">
        <f t="shared" si="1"/>
        <v>1</v>
      </c>
      <c r="O23" s="136" t="s">
        <v>722</v>
      </c>
    </row>
    <row r="24">
      <c r="A24" s="136">
        <v>22.0</v>
      </c>
      <c r="B24" s="137" t="s">
        <v>413</v>
      </c>
      <c r="C24" s="136" t="s">
        <v>743</v>
      </c>
      <c r="D24" s="136" t="s">
        <v>384</v>
      </c>
      <c r="E24" s="138">
        <v>40660.0</v>
      </c>
      <c r="F24" s="136">
        <v>5.0</v>
      </c>
      <c r="G24" s="139">
        <v>27250.0</v>
      </c>
      <c r="H24" s="136">
        <v>0.0</v>
      </c>
      <c r="I24" s="139">
        <v>27250.0</v>
      </c>
      <c r="J24" s="136">
        <v>14.93</v>
      </c>
      <c r="K24" s="139">
        <v>27249.0</v>
      </c>
      <c r="L24" s="136">
        <v>0.0</v>
      </c>
      <c r="M24" s="136">
        <v>1.0</v>
      </c>
      <c r="N24" s="140">
        <f t="shared" si="1"/>
        <v>1</v>
      </c>
      <c r="O24" s="136" t="s">
        <v>722</v>
      </c>
    </row>
    <row r="25">
      <c r="A25" s="136">
        <v>23.0</v>
      </c>
      <c r="B25" s="137" t="s">
        <v>429</v>
      </c>
      <c r="C25" s="136" t="s">
        <v>744</v>
      </c>
      <c r="D25" s="136" t="s">
        <v>384</v>
      </c>
      <c r="E25" s="138">
        <v>41511.0</v>
      </c>
      <c r="F25" s="136">
        <v>5.0</v>
      </c>
      <c r="G25" s="139">
        <v>28790.0</v>
      </c>
      <c r="H25" s="136">
        <v>0.0</v>
      </c>
      <c r="I25" s="139">
        <v>28790.0</v>
      </c>
      <c r="J25" s="136">
        <v>15.78</v>
      </c>
      <c r="K25" s="139">
        <v>28789.0</v>
      </c>
      <c r="L25" s="136">
        <v>0.0</v>
      </c>
      <c r="M25" s="136">
        <v>1.0</v>
      </c>
      <c r="N25" s="140">
        <f t="shared" si="1"/>
        <v>1</v>
      </c>
      <c r="O25" s="136" t="s">
        <v>722</v>
      </c>
    </row>
    <row r="26">
      <c r="A26" s="136">
        <v>24.0</v>
      </c>
      <c r="B26" s="137" t="s">
        <v>595</v>
      </c>
      <c r="C26" s="136" t="s">
        <v>745</v>
      </c>
      <c r="D26" s="136" t="s">
        <v>384</v>
      </c>
      <c r="E26" s="138">
        <v>41068.0</v>
      </c>
      <c r="F26" s="136">
        <v>5.0</v>
      </c>
      <c r="G26" s="139">
        <v>6990.0</v>
      </c>
      <c r="H26" s="136">
        <v>0.0</v>
      </c>
      <c r="I26" s="139">
        <v>6990.0</v>
      </c>
      <c r="J26" s="136">
        <v>3.83</v>
      </c>
      <c r="K26" s="139">
        <v>6989.0</v>
      </c>
      <c r="L26" s="136">
        <v>0.0</v>
      </c>
      <c r="M26" s="136">
        <v>1.0</v>
      </c>
      <c r="N26" s="140">
        <f t="shared" si="1"/>
        <v>1</v>
      </c>
      <c r="O26" s="136" t="s">
        <v>722</v>
      </c>
    </row>
    <row r="27">
      <c r="A27" s="136">
        <v>25.0</v>
      </c>
      <c r="B27" s="137" t="s">
        <v>595</v>
      </c>
      <c r="C27" s="136" t="s">
        <v>746</v>
      </c>
      <c r="D27" s="136" t="s">
        <v>384</v>
      </c>
      <c r="E27" s="138">
        <v>41095.0</v>
      </c>
      <c r="F27" s="136">
        <v>5.0</v>
      </c>
      <c r="G27" s="139">
        <v>6990.0</v>
      </c>
      <c r="H27" s="136">
        <v>0.0</v>
      </c>
      <c r="I27" s="139">
        <v>6990.0</v>
      </c>
      <c r="J27" s="136">
        <v>3.83</v>
      </c>
      <c r="K27" s="139">
        <v>6989.0</v>
      </c>
      <c r="L27" s="136">
        <v>0.0</v>
      </c>
      <c r="M27" s="136">
        <v>1.0</v>
      </c>
      <c r="N27" s="140">
        <f t="shared" si="1"/>
        <v>1</v>
      </c>
      <c r="O27" s="136" t="s">
        <v>722</v>
      </c>
    </row>
    <row r="28">
      <c r="A28" s="136">
        <v>26.0</v>
      </c>
      <c r="B28" s="137" t="s">
        <v>354</v>
      </c>
      <c r="C28" s="136" t="s">
        <v>747</v>
      </c>
      <c r="D28" s="136" t="s">
        <v>384</v>
      </c>
      <c r="E28" s="138">
        <v>41011.0</v>
      </c>
      <c r="F28" s="136">
        <v>5.0</v>
      </c>
      <c r="G28" s="139">
        <v>1099.0</v>
      </c>
      <c r="H28" s="136">
        <v>0.0</v>
      </c>
      <c r="I28" s="139">
        <v>1099.0</v>
      </c>
      <c r="J28" s="136">
        <v>0.6</v>
      </c>
      <c r="K28" s="139">
        <v>1098.0</v>
      </c>
      <c r="L28" s="136">
        <v>0.0</v>
      </c>
      <c r="M28" s="136">
        <v>1.0</v>
      </c>
      <c r="N28" s="140">
        <f t="shared" si="1"/>
        <v>1</v>
      </c>
      <c r="O28" s="136" t="s">
        <v>722</v>
      </c>
    </row>
    <row r="29">
      <c r="A29" s="136">
        <v>27.0</v>
      </c>
      <c r="B29" s="137" t="s">
        <v>395</v>
      </c>
      <c r="C29" s="136" t="s">
        <v>748</v>
      </c>
      <c r="D29" s="136" t="s">
        <v>384</v>
      </c>
      <c r="E29" s="138">
        <v>41478.0</v>
      </c>
      <c r="F29" s="136">
        <v>5.0</v>
      </c>
      <c r="G29" s="139">
        <v>4950.0</v>
      </c>
      <c r="H29" s="136">
        <v>0.0</v>
      </c>
      <c r="I29" s="139">
        <v>4950.0</v>
      </c>
      <c r="J29" s="136">
        <v>2.71</v>
      </c>
      <c r="K29" s="139">
        <v>4949.0</v>
      </c>
      <c r="L29" s="136">
        <v>0.0</v>
      </c>
      <c r="M29" s="136">
        <v>1.0</v>
      </c>
      <c r="N29" s="140">
        <f t="shared" si="1"/>
        <v>1</v>
      </c>
      <c r="O29" s="136" t="s">
        <v>722</v>
      </c>
    </row>
    <row r="30">
      <c r="A30" s="136">
        <v>28.0</v>
      </c>
      <c r="B30" s="137" t="s">
        <v>325</v>
      </c>
      <c r="C30" s="136" t="s">
        <v>749</v>
      </c>
      <c r="D30" s="136" t="s">
        <v>384</v>
      </c>
      <c r="E30" s="138">
        <v>42004.0</v>
      </c>
      <c r="F30" s="136">
        <v>5.0</v>
      </c>
      <c r="G30" s="139">
        <v>31390.0</v>
      </c>
      <c r="H30" s="136">
        <v>0.0</v>
      </c>
      <c r="I30" s="139">
        <v>31390.0</v>
      </c>
      <c r="J30" s="136">
        <v>17.2</v>
      </c>
      <c r="K30" s="139">
        <v>31389.0</v>
      </c>
      <c r="L30" s="136">
        <v>0.0</v>
      </c>
      <c r="M30" s="136">
        <v>1.0</v>
      </c>
      <c r="N30" s="140">
        <f t="shared" si="1"/>
        <v>1</v>
      </c>
      <c r="O30" s="136" t="s">
        <v>722</v>
      </c>
    </row>
    <row r="31">
      <c r="A31" s="136">
        <v>29.0</v>
      </c>
      <c r="B31" s="137" t="s">
        <v>750</v>
      </c>
      <c r="C31" s="136" t="s">
        <v>751</v>
      </c>
      <c r="D31" s="136" t="s">
        <v>384</v>
      </c>
      <c r="E31" s="138">
        <v>41892.0</v>
      </c>
      <c r="F31" s="136">
        <v>5.0</v>
      </c>
      <c r="G31" s="139">
        <v>4800.0</v>
      </c>
      <c r="H31" s="136">
        <v>0.0</v>
      </c>
      <c r="I31" s="139">
        <v>4800.0</v>
      </c>
      <c r="J31" s="136">
        <v>2.63</v>
      </c>
      <c r="K31" s="139">
        <v>4799.0</v>
      </c>
      <c r="L31" s="136">
        <v>0.0</v>
      </c>
      <c r="M31" s="136">
        <v>1.0</v>
      </c>
      <c r="N31" s="140">
        <f t="shared" si="1"/>
        <v>1</v>
      </c>
      <c r="O31" s="136" t="s">
        <v>722</v>
      </c>
    </row>
    <row r="32">
      <c r="A32" s="136">
        <v>30.0</v>
      </c>
      <c r="B32" s="137" t="s">
        <v>600</v>
      </c>
      <c r="C32" s="136" t="s">
        <v>375</v>
      </c>
      <c r="D32" s="136" t="s">
        <v>384</v>
      </c>
      <c r="E32" s="138">
        <v>41942.0</v>
      </c>
      <c r="F32" s="136">
        <v>5.0</v>
      </c>
      <c r="G32" s="139">
        <v>8500.0</v>
      </c>
      <c r="H32" s="136">
        <v>0.0</v>
      </c>
      <c r="I32" s="139">
        <v>8500.0</v>
      </c>
      <c r="J32" s="136">
        <v>4.66</v>
      </c>
      <c r="K32" s="139">
        <v>8499.0</v>
      </c>
      <c r="L32" s="136">
        <v>0.0</v>
      </c>
      <c r="M32" s="136">
        <v>1.0</v>
      </c>
      <c r="N32" s="140">
        <f t="shared" si="1"/>
        <v>1</v>
      </c>
      <c r="O32" s="136" t="s">
        <v>722</v>
      </c>
    </row>
    <row r="33">
      <c r="A33" s="136">
        <v>31.0</v>
      </c>
      <c r="B33" s="137" t="s">
        <v>358</v>
      </c>
      <c r="C33" s="136" t="s">
        <v>752</v>
      </c>
      <c r="D33" s="136" t="s">
        <v>384</v>
      </c>
      <c r="E33" s="138">
        <v>41808.0</v>
      </c>
      <c r="F33" s="136">
        <v>5.0</v>
      </c>
      <c r="G33" s="139">
        <v>6490.0</v>
      </c>
      <c r="H33" s="136">
        <v>0.0</v>
      </c>
      <c r="I33" s="139">
        <v>6490.0</v>
      </c>
      <c r="J33" s="136">
        <v>3.56</v>
      </c>
      <c r="K33" s="139">
        <v>6489.0</v>
      </c>
      <c r="L33" s="136">
        <v>0.0</v>
      </c>
      <c r="M33" s="136">
        <v>1.0</v>
      </c>
      <c r="N33" s="140">
        <f t="shared" si="1"/>
        <v>1</v>
      </c>
      <c r="O33" s="136" t="s">
        <v>722</v>
      </c>
    </row>
    <row r="34">
      <c r="A34" s="136">
        <v>32.0</v>
      </c>
      <c r="B34" s="137" t="s">
        <v>425</v>
      </c>
      <c r="C34" s="136" t="s">
        <v>753</v>
      </c>
      <c r="D34" s="136" t="s">
        <v>384</v>
      </c>
      <c r="E34" s="138">
        <v>42417.0</v>
      </c>
      <c r="F34" s="136">
        <v>5.0</v>
      </c>
      <c r="G34" s="139">
        <v>12960.0</v>
      </c>
      <c r="H34" s="136">
        <v>259.2</v>
      </c>
      <c r="I34" s="139">
        <v>12700.8</v>
      </c>
      <c r="J34" s="136">
        <v>6.96</v>
      </c>
      <c r="K34" s="139">
        <v>12699.8</v>
      </c>
      <c r="L34" s="136">
        <v>0.0</v>
      </c>
      <c r="M34" s="136">
        <v>1.0</v>
      </c>
      <c r="N34" s="140">
        <f t="shared" si="1"/>
        <v>260.2</v>
      </c>
      <c r="O34" s="136" t="s">
        <v>722</v>
      </c>
    </row>
    <row r="35">
      <c r="A35" s="136">
        <v>33.0</v>
      </c>
      <c r="B35" s="137" t="s">
        <v>429</v>
      </c>
      <c r="C35" s="136" t="s">
        <v>754</v>
      </c>
      <c r="D35" s="136" t="s">
        <v>384</v>
      </c>
      <c r="E35" s="138">
        <v>42397.0</v>
      </c>
      <c r="F35" s="136">
        <v>5.0</v>
      </c>
      <c r="G35" s="139">
        <v>39790.0</v>
      </c>
      <c r="H35" s="136">
        <v>795.8</v>
      </c>
      <c r="I35" s="139">
        <v>38994.2</v>
      </c>
      <c r="J35" s="136">
        <v>21.37</v>
      </c>
      <c r="K35" s="139">
        <v>38993.2</v>
      </c>
      <c r="L35" s="136">
        <v>0.0</v>
      </c>
      <c r="M35" s="136">
        <v>1.0</v>
      </c>
      <c r="N35" s="140">
        <f t="shared" si="1"/>
        <v>796.8</v>
      </c>
      <c r="O35" s="136" t="s">
        <v>722</v>
      </c>
    </row>
    <row r="36">
      <c r="A36" s="136">
        <v>34.0</v>
      </c>
      <c r="B36" s="137" t="s">
        <v>595</v>
      </c>
      <c r="C36" s="136" t="s">
        <v>755</v>
      </c>
      <c r="D36" s="136" t="s">
        <v>384</v>
      </c>
      <c r="E36" s="138">
        <v>42500.0</v>
      </c>
      <c r="F36" s="136">
        <v>5.0</v>
      </c>
      <c r="G36" s="139">
        <v>7490.0</v>
      </c>
      <c r="H36" s="136">
        <v>149.8</v>
      </c>
      <c r="I36" s="139">
        <v>7340.2</v>
      </c>
      <c r="J36" s="136">
        <v>4.02</v>
      </c>
      <c r="K36" s="139">
        <v>7339.2</v>
      </c>
      <c r="L36" s="136">
        <v>0.0</v>
      </c>
      <c r="M36" s="136">
        <v>1.0</v>
      </c>
      <c r="N36" s="140">
        <f t="shared" si="1"/>
        <v>150.8</v>
      </c>
      <c r="O36" s="136" t="s">
        <v>722</v>
      </c>
    </row>
    <row r="37">
      <c r="A37" s="136">
        <v>35.0</v>
      </c>
      <c r="B37" s="137" t="s">
        <v>595</v>
      </c>
      <c r="C37" s="136" t="s">
        <v>756</v>
      </c>
      <c r="D37" s="136" t="s">
        <v>384</v>
      </c>
      <c r="E37" s="138">
        <v>42732.0</v>
      </c>
      <c r="F37" s="136">
        <v>5.0</v>
      </c>
      <c r="G37" s="139">
        <v>7900.0</v>
      </c>
      <c r="H37" s="136">
        <v>158.0</v>
      </c>
      <c r="I37" s="139">
        <v>7742.0</v>
      </c>
      <c r="J37" s="136">
        <v>4.24</v>
      </c>
      <c r="K37" s="139">
        <v>7741.0</v>
      </c>
      <c r="L37" s="136">
        <v>0.0</v>
      </c>
      <c r="M37" s="136">
        <v>1.0</v>
      </c>
      <c r="N37" s="140">
        <f t="shared" si="1"/>
        <v>159</v>
      </c>
      <c r="O37" s="136" t="s">
        <v>722</v>
      </c>
    </row>
    <row r="38">
      <c r="A38" s="136">
        <v>36.0</v>
      </c>
      <c r="B38" s="137" t="s">
        <v>549</v>
      </c>
      <c r="C38" s="136" t="s">
        <v>757</v>
      </c>
      <c r="D38" s="136" t="s">
        <v>384</v>
      </c>
      <c r="E38" s="138">
        <v>42613.0</v>
      </c>
      <c r="F38" s="136">
        <v>5.0</v>
      </c>
      <c r="G38" s="139">
        <v>38790.0</v>
      </c>
      <c r="H38" s="136">
        <v>775.8</v>
      </c>
      <c r="I38" s="139">
        <v>38014.2</v>
      </c>
      <c r="J38" s="136">
        <v>20.83</v>
      </c>
      <c r="K38" s="139">
        <v>38013.2</v>
      </c>
      <c r="L38" s="136">
        <v>0.0</v>
      </c>
      <c r="M38" s="136">
        <v>1.0</v>
      </c>
      <c r="N38" s="140">
        <f t="shared" si="1"/>
        <v>776.8</v>
      </c>
      <c r="O38" s="136" t="s">
        <v>722</v>
      </c>
    </row>
    <row r="39">
      <c r="A39" s="136">
        <v>37.0</v>
      </c>
      <c r="B39" s="137" t="s">
        <v>457</v>
      </c>
      <c r="C39" s="136" t="s">
        <v>758</v>
      </c>
      <c r="D39" s="136" t="s">
        <v>384</v>
      </c>
      <c r="E39" s="138">
        <v>42484.0</v>
      </c>
      <c r="F39" s="136">
        <v>5.0</v>
      </c>
      <c r="G39" s="139">
        <v>37000.0</v>
      </c>
      <c r="H39" s="136">
        <v>740.0</v>
      </c>
      <c r="I39" s="139">
        <v>36260.0</v>
      </c>
      <c r="J39" s="136">
        <v>19.87</v>
      </c>
      <c r="K39" s="139">
        <v>36259.0</v>
      </c>
      <c r="L39" s="136">
        <v>0.0</v>
      </c>
      <c r="M39" s="136">
        <v>1.0</v>
      </c>
      <c r="N39" s="140">
        <f t="shared" si="1"/>
        <v>741</v>
      </c>
      <c r="O39" s="136" t="s">
        <v>722</v>
      </c>
    </row>
    <row r="40">
      <c r="A40" s="136">
        <v>38.0</v>
      </c>
      <c r="B40" s="137" t="s">
        <v>425</v>
      </c>
      <c r="C40" s="136" t="s">
        <v>759</v>
      </c>
      <c r="D40" s="136" t="s">
        <v>384</v>
      </c>
      <c r="E40" s="138">
        <v>42713.0</v>
      </c>
      <c r="F40" s="136">
        <v>5.0</v>
      </c>
      <c r="G40" s="139">
        <v>12390.0</v>
      </c>
      <c r="H40" s="136">
        <v>247.8</v>
      </c>
      <c r="I40" s="139">
        <v>12142.2</v>
      </c>
      <c r="J40" s="136">
        <v>6.65</v>
      </c>
      <c r="K40" s="139">
        <v>12141.2</v>
      </c>
      <c r="L40" s="136">
        <v>0.0</v>
      </c>
      <c r="M40" s="136">
        <v>1.0</v>
      </c>
      <c r="N40" s="140">
        <f t="shared" si="1"/>
        <v>248.8</v>
      </c>
      <c r="O40" s="136" t="s">
        <v>722</v>
      </c>
    </row>
    <row r="41">
      <c r="A41" s="136">
        <v>39.0</v>
      </c>
      <c r="B41" s="137" t="s">
        <v>425</v>
      </c>
      <c r="C41" s="136" t="s">
        <v>760</v>
      </c>
      <c r="D41" s="136" t="s">
        <v>384</v>
      </c>
      <c r="E41" s="138">
        <v>42593.0</v>
      </c>
      <c r="F41" s="136">
        <v>5.0</v>
      </c>
      <c r="G41" s="139">
        <v>12390.0</v>
      </c>
      <c r="H41" s="136">
        <v>247.8</v>
      </c>
      <c r="I41" s="139">
        <v>12142.2</v>
      </c>
      <c r="J41" s="136">
        <v>6.65</v>
      </c>
      <c r="K41" s="139">
        <v>12141.2</v>
      </c>
      <c r="L41" s="136">
        <v>0.0</v>
      </c>
      <c r="M41" s="136">
        <v>1.0</v>
      </c>
      <c r="N41" s="140">
        <f t="shared" si="1"/>
        <v>248.8</v>
      </c>
      <c r="O41" s="136" t="s">
        <v>722</v>
      </c>
    </row>
    <row r="42">
      <c r="A42" s="136">
        <v>40.0</v>
      </c>
      <c r="B42" s="137" t="s">
        <v>425</v>
      </c>
      <c r="C42" s="136" t="s">
        <v>761</v>
      </c>
      <c r="D42" s="136" t="s">
        <v>384</v>
      </c>
      <c r="E42" s="138">
        <v>42537.0</v>
      </c>
      <c r="F42" s="136">
        <v>5.0</v>
      </c>
      <c r="G42" s="139">
        <v>12390.0</v>
      </c>
      <c r="H42" s="136">
        <v>247.8</v>
      </c>
      <c r="I42" s="139">
        <v>12142.2</v>
      </c>
      <c r="J42" s="136">
        <v>6.65</v>
      </c>
      <c r="K42" s="139">
        <v>12141.2</v>
      </c>
      <c r="L42" s="136">
        <v>0.0</v>
      </c>
      <c r="M42" s="136">
        <v>1.0</v>
      </c>
      <c r="N42" s="140">
        <f t="shared" si="1"/>
        <v>248.8</v>
      </c>
      <c r="O42" s="136" t="s">
        <v>722</v>
      </c>
    </row>
    <row r="43">
      <c r="A43" s="136">
        <v>41.0</v>
      </c>
      <c r="B43" s="137" t="s">
        <v>362</v>
      </c>
      <c r="C43" s="136" t="s">
        <v>762</v>
      </c>
      <c r="D43" s="136" t="s">
        <v>384</v>
      </c>
      <c r="E43" s="138">
        <v>42733.0</v>
      </c>
      <c r="F43" s="136">
        <v>5.0</v>
      </c>
      <c r="G43" s="139">
        <v>2750.0</v>
      </c>
      <c r="H43" s="136">
        <v>55.0</v>
      </c>
      <c r="I43" s="139">
        <v>2695.0</v>
      </c>
      <c r="J43" s="136">
        <v>1.48</v>
      </c>
      <c r="K43" s="139">
        <v>2694.0</v>
      </c>
      <c r="L43" s="136">
        <v>0.0</v>
      </c>
      <c r="M43" s="136">
        <v>1.0</v>
      </c>
      <c r="N43" s="140">
        <f t="shared" si="1"/>
        <v>56</v>
      </c>
      <c r="O43" s="136" t="s">
        <v>722</v>
      </c>
    </row>
    <row r="44">
      <c r="A44" s="136">
        <v>42.0</v>
      </c>
      <c r="B44" s="137" t="s">
        <v>410</v>
      </c>
      <c r="C44" s="136" t="s">
        <v>763</v>
      </c>
      <c r="D44" s="136" t="s">
        <v>384</v>
      </c>
      <c r="E44" s="138">
        <v>42675.0</v>
      </c>
      <c r="F44" s="136">
        <v>5.0</v>
      </c>
      <c r="G44" s="139">
        <v>1250.0</v>
      </c>
      <c r="H44" s="136">
        <v>0.0</v>
      </c>
      <c r="I44" s="139">
        <v>1250.0</v>
      </c>
      <c r="J44" s="136">
        <v>0.69</v>
      </c>
      <c r="K44" s="139">
        <v>1249.0</v>
      </c>
      <c r="L44" s="136">
        <v>0.0</v>
      </c>
      <c r="M44" s="136">
        <v>1.0</v>
      </c>
      <c r="N44" s="140">
        <f t="shared" si="1"/>
        <v>1</v>
      </c>
      <c r="O44" s="136" t="s">
        <v>722</v>
      </c>
    </row>
    <row r="45">
      <c r="A45" s="136">
        <v>43.0</v>
      </c>
      <c r="B45" s="137" t="s">
        <v>410</v>
      </c>
      <c r="C45" s="136" t="s">
        <v>764</v>
      </c>
      <c r="D45" s="136" t="s">
        <v>384</v>
      </c>
      <c r="E45" s="138">
        <v>42675.0</v>
      </c>
      <c r="F45" s="136">
        <v>5.0</v>
      </c>
      <c r="G45" s="139">
        <v>1250.0</v>
      </c>
      <c r="H45" s="136">
        <v>0.0</v>
      </c>
      <c r="I45" s="139">
        <v>1250.0</v>
      </c>
      <c r="J45" s="136">
        <v>0.69</v>
      </c>
      <c r="K45" s="139">
        <v>1249.0</v>
      </c>
      <c r="L45" s="136">
        <v>0.0</v>
      </c>
      <c r="M45" s="136">
        <v>1.0</v>
      </c>
      <c r="N45" s="140">
        <f t="shared" si="1"/>
        <v>1</v>
      </c>
      <c r="O45" s="136" t="s">
        <v>722</v>
      </c>
    </row>
    <row r="46">
      <c r="A46" s="136">
        <v>44.0</v>
      </c>
      <c r="B46" s="137" t="s">
        <v>476</v>
      </c>
      <c r="C46" s="136" t="s">
        <v>765</v>
      </c>
      <c r="D46" s="136" t="s">
        <v>384</v>
      </c>
      <c r="E46" s="138">
        <v>42565.0</v>
      </c>
      <c r="F46" s="136">
        <v>5.0</v>
      </c>
      <c r="G46" s="139">
        <v>4990.0</v>
      </c>
      <c r="H46" s="136">
        <v>0.0</v>
      </c>
      <c r="I46" s="139">
        <v>4990.0</v>
      </c>
      <c r="J46" s="136">
        <v>2.73</v>
      </c>
      <c r="K46" s="139">
        <v>4989.0</v>
      </c>
      <c r="L46" s="136">
        <v>0.0</v>
      </c>
      <c r="M46" s="136">
        <v>1.0</v>
      </c>
      <c r="N46" s="140">
        <f t="shared" si="1"/>
        <v>1</v>
      </c>
      <c r="O46" s="136" t="s">
        <v>722</v>
      </c>
    </row>
    <row r="47">
      <c r="A47" s="136">
        <v>45.0</v>
      </c>
      <c r="B47" s="137" t="s">
        <v>467</v>
      </c>
      <c r="C47" s="136" t="s">
        <v>766</v>
      </c>
      <c r="D47" s="136" t="s">
        <v>384</v>
      </c>
      <c r="E47" s="138">
        <v>42497.0</v>
      </c>
      <c r="F47" s="136">
        <v>5.0</v>
      </c>
      <c r="G47" s="139">
        <v>2479.0</v>
      </c>
      <c r="H47" s="136">
        <v>49.58</v>
      </c>
      <c r="I47" s="139">
        <v>2429.42</v>
      </c>
      <c r="J47" s="136">
        <v>1.33</v>
      </c>
      <c r="K47" s="139">
        <v>2428.42</v>
      </c>
      <c r="L47" s="136">
        <v>0.0</v>
      </c>
      <c r="M47" s="136">
        <v>1.0</v>
      </c>
      <c r="N47" s="140">
        <f t="shared" si="1"/>
        <v>50.58</v>
      </c>
      <c r="O47" s="136" t="s">
        <v>722</v>
      </c>
    </row>
    <row r="48">
      <c r="A48" s="136">
        <v>46.0</v>
      </c>
      <c r="B48" s="137" t="s">
        <v>413</v>
      </c>
      <c r="C48" s="136" t="s">
        <v>767</v>
      </c>
      <c r="D48" s="136" t="s">
        <v>384</v>
      </c>
      <c r="E48" s="138">
        <v>42500.0</v>
      </c>
      <c r="F48" s="136">
        <v>5.0</v>
      </c>
      <c r="G48" s="139">
        <v>9950.0</v>
      </c>
      <c r="H48" s="136">
        <v>199.0</v>
      </c>
      <c r="I48" s="139">
        <v>9751.0</v>
      </c>
      <c r="J48" s="136">
        <v>5.34</v>
      </c>
      <c r="K48" s="139">
        <v>9750.0</v>
      </c>
      <c r="L48" s="136">
        <v>0.0</v>
      </c>
      <c r="M48" s="136">
        <v>1.0</v>
      </c>
      <c r="N48" s="140">
        <f t="shared" si="1"/>
        <v>200</v>
      </c>
      <c r="O48" s="136" t="s">
        <v>722</v>
      </c>
    </row>
    <row r="49">
      <c r="A49" s="136">
        <v>47.0</v>
      </c>
      <c r="B49" s="137" t="s">
        <v>429</v>
      </c>
      <c r="C49" s="136" t="s">
        <v>768</v>
      </c>
      <c r="D49" s="136" t="s">
        <v>384</v>
      </c>
      <c r="E49" s="138">
        <v>42397.0</v>
      </c>
      <c r="F49" s="136">
        <v>5.0</v>
      </c>
      <c r="G49" s="139">
        <v>39790.0</v>
      </c>
      <c r="H49" s="136">
        <v>795.8</v>
      </c>
      <c r="I49" s="139">
        <v>38994.2</v>
      </c>
      <c r="J49" s="136">
        <v>21.37</v>
      </c>
      <c r="K49" s="139">
        <v>38993.2</v>
      </c>
      <c r="L49" s="136">
        <v>0.0</v>
      </c>
      <c r="M49" s="136">
        <v>1.0</v>
      </c>
      <c r="N49" s="140">
        <f t="shared" si="1"/>
        <v>796.8</v>
      </c>
      <c r="O49" s="136" t="s">
        <v>722</v>
      </c>
    </row>
    <row r="50">
      <c r="A50" s="136">
        <v>48.0</v>
      </c>
      <c r="B50" s="137" t="s">
        <v>769</v>
      </c>
      <c r="C50" s="136" t="s">
        <v>770</v>
      </c>
      <c r="D50" s="136" t="s">
        <v>384</v>
      </c>
      <c r="E50" s="138">
        <v>42565.0</v>
      </c>
      <c r="F50" s="136">
        <v>5.0</v>
      </c>
      <c r="G50" s="139">
        <v>8690.0</v>
      </c>
      <c r="H50" s="136">
        <v>0.0</v>
      </c>
      <c r="I50" s="139">
        <v>8690.0</v>
      </c>
      <c r="J50" s="136">
        <v>4.76</v>
      </c>
      <c r="K50" s="139">
        <v>8689.0</v>
      </c>
      <c r="L50" s="136">
        <v>0.0</v>
      </c>
      <c r="M50" s="136">
        <v>1.0</v>
      </c>
      <c r="N50" s="140">
        <f t="shared" si="1"/>
        <v>1</v>
      </c>
      <c r="O50" s="136" t="s">
        <v>722</v>
      </c>
    </row>
    <row r="51">
      <c r="A51" s="136">
        <v>49.0</v>
      </c>
      <c r="B51" s="137" t="s">
        <v>595</v>
      </c>
      <c r="C51" s="136" t="s">
        <v>771</v>
      </c>
      <c r="D51" s="136" t="s">
        <v>384</v>
      </c>
      <c r="E51" s="138">
        <v>43064.0</v>
      </c>
      <c r="F51" s="136">
        <v>5.0</v>
      </c>
      <c r="G51" s="139">
        <v>7900.0</v>
      </c>
      <c r="H51" s="136">
        <v>401.93</v>
      </c>
      <c r="I51" s="139">
        <v>7498.07</v>
      </c>
      <c r="J51" s="136">
        <v>4.11</v>
      </c>
      <c r="K51" s="139">
        <v>7497.07</v>
      </c>
      <c r="L51" s="136">
        <v>0.0</v>
      </c>
      <c r="M51" s="136">
        <v>1.0</v>
      </c>
      <c r="N51" s="140">
        <f t="shared" si="1"/>
        <v>402.93</v>
      </c>
      <c r="O51" s="136" t="s">
        <v>722</v>
      </c>
    </row>
    <row r="52">
      <c r="A52" s="136">
        <v>50.0</v>
      </c>
      <c r="B52" s="137" t="s">
        <v>435</v>
      </c>
      <c r="C52" s="136" t="s">
        <v>772</v>
      </c>
      <c r="D52" s="136" t="s">
        <v>384</v>
      </c>
      <c r="E52" s="138">
        <v>42751.0</v>
      </c>
      <c r="F52" s="136">
        <v>5.0</v>
      </c>
      <c r="G52" s="136">
        <v>950.0</v>
      </c>
      <c r="H52" s="136">
        <v>65.75</v>
      </c>
      <c r="I52" s="136">
        <v>884.25</v>
      </c>
      <c r="J52" s="136">
        <v>0.49</v>
      </c>
      <c r="K52" s="136">
        <v>883.25</v>
      </c>
      <c r="L52" s="136">
        <v>0.0</v>
      </c>
      <c r="M52" s="136">
        <v>1.0</v>
      </c>
      <c r="N52" s="140">
        <f t="shared" si="1"/>
        <v>66.75</v>
      </c>
      <c r="O52" s="136" t="s">
        <v>722</v>
      </c>
    </row>
    <row r="53">
      <c r="A53" s="136">
        <v>51.0</v>
      </c>
      <c r="B53" s="137" t="s">
        <v>435</v>
      </c>
      <c r="C53" s="136" t="s">
        <v>773</v>
      </c>
      <c r="D53" s="136" t="s">
        <v>384</v>
      </c>
      <c r="E53" s="138">
        <v>42753.0</v>
      </c>
      <c r="F53" s="136">
        <v>5.0</v>
      </c>
      <c r="G53" s="136">
        <v>700.0</v>
      </c>
      <c r="H53" s="136">
        <v>14.0</v>
      </c>
      <c r="I53" s="136">
        <v>686.0</v>
      </c>
      <c r="J53" s="136">
        <v>0.38</v>
      </c>
      <c r="K53" s="136">
        <v>685.0</v>
      </c>
      <c r="L53" s="136">
        <v>0.0</v>
      </c>
      <c r="M53" s="136">
        <v>1.0</v>
      </c>
      <c r="N53" s="140">
        <f t="shared" si="1"/>
        <v>15</v>
      </c>
      <c r="O53" s="136" t="s">
        <v>722</v>
      </c>
    </row>
    <row r="54">
      <c r="A54" s="136">
        <v>52.0</v>
      </c>
      <c r="B54" s="137" t="s">
        <v>435</v>
      </c>
      <c r="C54" s="136" t="s">
        <v>774</v>
      </c>
      <c r="D54" s="136" t="s">
        <v>384</v>
      </c>
      <c r="E54" s="138">
        <v>42753.0</v>
      </c>
      <c r="F54" s="136">
        <v>5.0</v>
      </c>
      <c r="G54" s="136">
        <v>700.0</v>
      </c>
      <c r="H54" s="136">
        <v>14.0</v>
      </c>
      <c r="I54" s="136">
        <v>686.0</v>
      </c>
      <c r="J54" s="136">
        <v>0.38</v>
      </c>
      <c r="K54" s="136">
        <v>685.0</v>
      </c>
      <c r="L54" s="136">
        <v>0.0</v>
      </c>
      <c r="M54" s="136">
        <v>1.0</v>
      </c>
      <c r="N54" s="140">
        <f t="shared" si="1"/>
        <v>15</v>
      </c>
      <c r="O54" s="136" t="s">
        <v>722</v>
      </c>
    </row>
    <row r="55">
      <c r="A55" s="136">
        <v>53.0</v>
      </c>
      <c r="B55" s="137" t="s">
        <v>435</v>
      </c>
      <c r="C55" s="136" t="s">
        <v>775</v>
      </c>
      <c r="D55" s="136" t="s">
        <v>384</v>
      </c>
      <c r="E55" s="138">
        <v>42765.0</v>
      </c>
      <c r="F55" s="136">
        <v>5.0</v>
      </c>
      <c r="G55" s="136">
        <v>700.0</v>
      </c>
      <c r="H55" s="136">
        <v>14.0</v>
      </c>
      <c r="I55" s="136">
        <v>686.0</v>
      </c>
      <c r="J55" s="136">
        <v>0.38</v>
      </c>
      <c r="K55" s="136">
        <v>685.0</v>
      </c>
      <c r="L55" s="136">
        <v>0.0</v>
      </c>
      <c r="M55" s="136">
        <v>1.0</v>
      </c>
      <c r="N55" s="140">
        <f t="shared" si="1"/>
        <v>15</v>
      </c>
      <c r="O55" s="136" t="s">
        <v>722</v>
      </c>
    </row>
    <row r="56">
      <c r="A56" s="136">
        <v>54.0</v>
      </c>
      <c r="B56" s="137" t="s">
        <v>435</v>
      </c>
      <c r="C56" s="136" t="s">
        <v>776</v>
      </c>
      <c r="D56" s="136" t="s">
        <v>384</v>
      </c>
      <c r="E56" s="138">
        <v>42949.0</v>
      </c>
      <c r="F56" s="136">
        <v>5.0</v>
      </c>
      <c r="G56" s="136">
        <v>700.0</v>
      </c>
      <c r="H56" s="136">
        <v>14.0</v>
      </c>
      <c r="I56" s="136">
        <v>686.0</v>
      </c>
      <c r="J56" s="136">
        <v>0.38</v>
      </c>
      <c r="K56" s="136">
        <v>685.0</v>
      </c>
      <c r="L56" s="136">
        <v>0.0</v>
      </c>
      <c r="M56" s="136">
        <v>1.0</v>
      </c>
      <c r="N56" s="140">
        <f t="shared" si="1"/>
        <v>15</v>
      </c>
      <c r="O56" s="136" t="s">
        <v>722</v>
      </c>
    </row>
    <row r="57">
      <c r="A57" s="136">
        <v>55.0</v>
      </c>
      <c r="B57" s="137" t="s">
        <v>435</v>
      </c>
      <c r="C57" s="136" t="s">
        <v>777</v>
      </c>
      <c r="D57" s="136" t="s">
        <v>384</v>
      </c>
      <c r="E57" s="138">
        <v>42981.0</v>
      </c>
      <c r="F57" s="136">
        <v>5.0</v>
      </c>
      <c r="G57" s="136">
        <v>870.0</v>
      </c>
      <c r="H57" s="136">
        <v>17.4</v>
      </c>
      <c r="I57" s="136">
        <v>852.6</v>
      </c>
      <c r="J57" s="136">
        <v>0.47</v>
      </c>
      <c r="K57" s="136">
        <v>851.6</v>
      </c>
      <c r="L57" s="136">
        <v>0.0</v>
      </c>
      <c r="M57" s="136">
        <v>1.0</v>
      </c>
      <c r="N57" s="140">
        <f t="shared" si="1"/>
        <v>18.4</v>
      </c>
      <c r="O57" s="136" t="s">
        <v>722</v>
      </c>
    </row>
    <row r="58">
      <c r="A58" s="136">
        <v>56.0</v>
      </c>
      <c r="B58" s="137" t="s">
        <v>435</v>
      </c>
      <c r="C58" s="136" t="s">
        <v>778</v>
      </c>
      <c r="D58" s="136" t="s">
        <v>384</v>
      </c>
      <c r="E58" s="138">
        <v>42814.0</v>
      </c>
      <c r="F58" s="136">
        <v>5.0</v>
      </c>
      <c r="G58" s="136">
        <v>700.0</v>
      </c>
      <c r="H58" s="136">
        <v>14.0</v>
      </c>
      <c r="I58" s="136">
        <v>686.0</v>
      </c>
      <c r="J58" s="136">
        <v>0.38</v>
      </c>
      <c r="K58" s="136">
        <v>685.0</v>
      </c>
      <c r="L58" s="136">
        <v>0.0</v>
      </c>
      <c r="M58" s="136">
        <v>1.0</v>
      </c>
      <c r="N58" s="140">
        <f t="shared" si="1"/>
        <v>15</v>
      </c>
      <c r="O58" s="136" t="s">
        <v>722</v>
      </c>
    </row>
    <row r="59">
      <c r="A59" s="136">
        <v>57.0</v>
      </c>
      <c r="B59" s="137" t="s">
        <v>457</v>
      </c>
      <c r="C59" s="136" t="s">
        <v>779</v>
      </c>
      <c r="D59" s="136" t="s">
        <v>384</v>
      </c>
      <c r="E59" s="138">
        <v>43016.0</v>
      </c>
      <c r="F59" s="136">
        <v>5.0</v>
      </c>
      <c r="G59" s="139">
        <v>37800.0</v>
      </c>
      <c r="H59" s="136">
        <v>756.0</v>
      </c>
      <c r="I59" s="139">
        <v>37044.0</v>
      </c>
      <c r="J59" s="136">
        <v>20.3</v>
      </c>
      <c r="K59" s="139">
        <v>37043.0</v>
      </c>
      <c r="L59" s="136">
        <v>0.0</v>
      </c>
      <c r="M59" s="136">
        <v>1.0</v>
      </c>
      <c r="N59" s="140">
        <f t="shared" si="1"/>
        <v>757</v>
      </c>
      <c r="O59" s="136" t="s">
        <v>722</v>
      </c>
    </row>
    <row r="60">
      <c r="A60" s="136">
        <v>58.0</v>
      </c>
      <c r="B60" s="137" t="s">
        <v>780</v>
      </c>
      <c r="C60" s="136" t="s">
        <v>781</v>
      </c>
      <c r="D60" s="136" t="s">
        <v>384</v>
      </c>
      <c r="E60" s="138">
        <v>42805.0</v>
      </c>
      <c r="F60" s="136">
        <v>5.0</v>
      </c>
      <c r="G60" s="139">
        <v>40000.0</v>
      </c>
      <c r="H60" s="136">
        <v>800.0</v>
      </c>
      <c r="I60" s="139">
        <v>39200.0</v>
      </c>
      <c r="J60" s="136">
        <v>21.48</v>
      </c>
      <c r="K60" s="139">
        <v>39199.0</v>
      </c>
      <c r="L60" s="136">
        <v>0.0</v>
      </c>
      <c r="M60" s="136">
        <v>1.0</v>
      </c>
      <c r="N60" s="140">
        <f t="shared" si="1"/>
        <v>801</v>
      </c>
      <c r="O60" s="136" t="s">
        <v>722</v>
      </c>
    </row>
    <row r="61">
      <c r="A61" s="136">
        <v>59.0</v>
      </c>
      <c r="B61" s="137" t="s">
        <v>782</v>
      </c>
      <c r="C61" s="136" t="s">
        <v>783</v>
      </c>
      <c r="D61" s="136" t="s">
        <v>384</v>
      </c>
      <c r="E61" s="138">
        <v>42928.0</v>
      </c>
      <c r="F61" s="136">
        <v>5.0</v>
      </c>
      <c r="G61" s="139">
        <v>1990.0</v>
      </c>
      <c r="H61" s="136">
        <v>39.8</v>
      </c>
      <c r="I61" s="139">
        <v>1950.2</v>
      </c>
      <c r="J61" s="136">
        <v>1.07</v>
      </c>
      <c r="K61" s="139">
        <v>1949.2</v>
      </c>
      <c r="L61" s="136">
        <v>0.0</v>
      </c>
      <c r="M61" s="136">
        <v>1.0</v>
      </c>
      <c r="N61" s="140">
        <f t="shared" si="1"/>
        <v>40.8</v>
      </c>
      <c r="O61" s="136" t="s">
        <v>722</v>
      </c>
    </row>
    <row r="62">
      <c r="A62" s="136">
        <v>60.0</v>
      </c>
      <c r="B62" s="137" t="s">
        <v>784</v>
      </c>
      <c r="C62" s="136" t="s">
        <v>785</v>
      </c>
      <c r="D62" s="136" t="s">
        <v>384</v>
      </c>
      <c r="E62" s="138">
        <v>43337.0</v>
      </c>
      <c r="F62" s="136">
        <v>5.0</v>
      </c>
      <c r="G62" s="139">
        <v>8500.0</v>
      </c>
      <c r="H62" s="136">
        <v>170.0</v>
      </c>
      <c r="I62" s="139">
        <v>8330.0</v>
      </c>
      <c r="J62" s="136">
        <v>4.56</v>
      </c>
      <c r="K62" s="139">
        <v>8329.0</v>
      </c>
      <c r="L62" s="136">
        <v>0.0</v>
      </c>
      <c r="M62" s="136">
        <v>1.0</v>
      </c>
      <c r="N62" s="140">
        <f t="shared" si="1"/>
        <v>171</v>
      </c>
      <c r="O62" s="136" t="s">
        <v>722</v>
      </c>
    </row>
    <row r="63">
      <c r="A63" s="136">
        <v>61.0</v>
      </c>
      <c r="B63" s="137" t="s">
        <v>786</v>
      </c>
      <c r="C63" s="136" t="s">
        <v>787</v>
      </c>
      <c r="D63" s="136" t="s">
        <v>384</v>
      </c>
      <c r="E63" s="138">
        <v>43312.0</v>
      </c>
      <c r="F63" s="136">
        <v>5.0</v>
      </c>
      <c r="G63" s="139">
        <v>8500.0</v>
      </c>
      <c r="H63" s="136">
        <v>170.0</v>
      </c>
      <c r="I63" s="139">
        <v>8330.0</v>
      </c>
      <c r="J63" s="136">
        <v>4.56</v>
      </c>
      <c r="K63" s="139">
        <v>7697.4</v>
      </c>
      <c r="L63" s="136">
        <v>631.6</v>
      </c>
      <c r="M63" s="136">
        <v>1.0</v>
      </c>
      <c r="N63" s="140">
        <f t="shared" si="1"/>
        <v>171</v>
      </c>
      <c r="O63" s="136" t="s">
        <v>722</v>
      </c>
    </row>
    <row r="64">
      <c r="A64" s="136">
        <v>62.0</v>
      </c>
      <c r="B64" s="137" t="s">
        <v>429</v>
      </c>
      <c r="C64" s="136" t="s">
        <v>788</v>
      </c>
      <c r="D64" s="136" t="s">
        <v>384</v>
      </c>
      <c r="E64" s="138">
        <v>43327.0</v>
      </c>
      <c r="F64" s="136">
        <v>5.0</v>
      </c>
      <c r="G64" s="139">
        <v>42000.0</v>
      </c>
      <c r="H64" s="136">
        <v>840.0</v>
      </c>
      <c r="I64" s="139">
        <v>41160.0</v>
      </c>
      <c r="J64" s="136">
        <v>22.55</v>
      </c>
      <c r="K64" s="139">
        <v>37782.44</v>
      </c>
      <c r="L64" s="139">
        <v>3376.56</v>
      </c>
      <c r="M64" s="136">
        <v>1.0</v>
      </c>
      <c r="N64" s="140">
        <f t="shared" si="1"/>
        <v>841</v>
      </c>
      <c r="O64" s="136" t="s">
        <v>722</v>
      </c>
    </row>
    <row r="65">
      <c r="A65" s="136">
        <v>63.0</v>
      </c>
      <c r="B65" s="137" t="s">
        <v>425</v>
      </c>
      <c r="C65" s="136" t="s">
        <v>789</v>
      </c>
      <c r="D65" s="136" t="s">
        <v>384</v>
      </c>
      <c r="E65" s="138">
        <v>43339.0</v>
      </c>
      <c r="F65" s="136">
        <v>5.0</v>
      </c>
      <c r="G65" s="139">
        <v>13790.0</v>
      </c>
      <c r="H65" s="136">
        <v>275.8</v>
      </c>
      <c r="I65" s="139">
        <v>13514.2</v>
      </c>
      <c r="J65" s="136">
        <v>7.41</v>
      </c>
      <c r="K65" s="139">
        <v>12339.48</v>
      </c>
      <c r="L65" s="139">
        <v>1173.72</v>
      </c>
      <c r="M65" s="136">
        <v>1.0</v>
      </c>
      <c r="N65" s="140">
        <f t="shared" si="1"/>
        <v>276.8</v>
      </c>
      <c r="O65" s="136" t="s">
        <v>722</v>
      </c>
    </row>
    <row r="66">
      <c r="A66" s="136">
        <v>64.0</v>
      </c>
      <c r="B66" s="137" t="s">
        <v>395</v>
      </c>
      <c r="C66" s="136" t="s">
        <v>790</v>
      </c>
      <c r="D66" s="136" t="s">
        <v>384</v>
      </c>
      <c r="E66" s="138">
        <v>43229.0</v>
      </c>
      <c r="F66" s="136">
        <v>5.0</v>
      </c>
      <c r="G66" s="139">
        <v>2990.0</v>
      </c>
      <c r="H66" s="136">
        <v>59.8</v>
      </c>
      <c r="I66" s="139">
        <v>2930.2</v>
      </c>
      <c r="J66" s="136">
        <v>1.61</v>
      </c>
      <c r="K66" s="139">
        <v>2665.63</v>
      </c>
      <c r="L66" s="136">
        <v>263.57</v>
      </c>
      <c r="M66" s="136">
        <v>1.0</v>
      </c>
      <c r="N66" s="140">
        <f t="shared" si="1"/>
        <v>60.8</v>
      </c>
      <c r="O66" s="136" t="s">
        <v>722</v>
      </c>
    </row>
    <row r="67">
      <c r="A67" s="136">
        <v>65.0</v>
      </c>
      <c r="B67" s="137" t="s">
        <v>392</v>
      </c>
      <c r="C67" s="136" t="s">
        <v>791</v>
      </c>
      <c r="D67" s="136" t="s">
        <v>384</v>
      </c>
      <c r="E67" s="138">
        <v>43443.0</v>
      </c>
      <c r="F67" s="136">
        <v>5.0</v>
      </c>
      <c r="G67" s="139">
        <v>21790.0</v>
      </c>
      <c r="H67" s="136">
        <v>435.8</v>
      </c>
      <c r="I67" s="139">
        <v>21354.2</v>
      </c>
      <c r="J67" s="136">
        <v>11.7</v>
      </c>
      <c r="K67" s="139">
        <v>19351.66</v>
      </c>
      <c r="L67" s="139">
        <v>2001.54</v>
      </c>
      <c r="M67" s="136">
        <v>1.0</v>
      </c>
      <c r="N67" s="140">
        <f t="shared" si="1"/>
        <v>436.8</v>
      </c>
      <c r="O67" s="136" t="s">
        <v>722</v>
      </c>
    </row>
    <row r="68">
      <c r="A68" s="136">
        <v>66.0</v>
      </c>
      <c r="B68" s="137" t="s">
        <v>562</v>
      </c>
      <c r="C68" s="136" t="s">
        <v>792</v>
      </c>
      <c r="D68" s="136" t="s">
        <v>384</v>
      </c>
      <c r="E68" s="138">
        <v>43443.0</v>
      </c>
      <c r="F68" s="136">
        <v>5.0</v>
      </c>
      <c r="G68" s="139">
        <v>8490.0</v>
      </c>
      <c r="H68" s="136">
        <v>169.8</v>
      </c>
      <c r="I68" s="139">
        <v>8320.2</v>
      </c>
      <c r="J68" s="136">
        <v>4.56</v>
      </c>
      <c r="K68" s="139">
        <v>7540.42</v>
      </c>
      <c r="L68" s="136">
        <v>778.78</v>
      </c>
      <c r="M68" s="136">
        <v>1.0</v>
      </c>
      <c r="N68" s="140">
        <f t="shared" si="1"/>
        <v>170.8</v>
      </c>
      <c r="O68" s="136" t="s">
        <v>722</v>
      </c>
    </row>
    <row r="69">
      <c r="A69" s="136">
        <v>67.0</v>
      </c>
      <c r="B69" s="137" t="s">
        <v>410</v>
      </c>
      <c r="C69" s="136" t="s">
        <v>793</v>
      </c>
      <c r="D69" s="136" t="s">
        <v>384</v>
      </c>
      <c r="E69" s="138">
        <v>43202.0</v>
      </c>
      <c r="F69" s="136">
        <v>5.0</v>
      </c>
      <c r="G69" s="139">
        <v>1499.0</v>
      </c>
      <c r="H69" s="136">
        <v>29.98</v>
      </c>
      <c r="I69" s="139">
        <v>1469.02</v>
      </c>
      <c r="J69" s="136">
        <v>0.81</v>
      </c>
      <c r="K69" s="139">
        <v>1282.03</v>
      </c>
      <c r="L69" s="136">
        <v>171.72</v>
      </c>
      <c r="M69" s="136">
        <v>15.27</v>
      </c>
      <c r="N69" s="140">
        <f t="shared" si="1"/>
        <v>45.25</v>
      </c>
      <c r="O69" s="136" t="s">
        <v>722</v>
      </c>
    </row>
    <row r="70">
      <c r="A70" s="136">
        <v>68.0</v>
      </c>
      <c r="B70" s="137" t="s">
        <v>410</v>
      </c>
      <c r="C70" s="136" t="s">
        <v>794</v>
      </c>
      <c r="D70" s="136" t="s">
        <v>384</v>
      </c>
      <c r="E70" s="138">
        <v>43202.0</v>
      </c>
      <c r="F70" s="136">
        <v>5.0</v>
      </c>
      <c r="G70" s="139">
        <v>1499.0</v>
      </c>
      <c r="H70" s="136">
        <v>29.98</v>
      </c>
      <c r="I70" s="139">
        <v>1469.02</v>
      </c>
      <c r="J70" s="136">
        <v>0.81</v>
      </c>
      <c r="K70" s="139">
        <v>1282.03</v>
      </c>
      <c r="L70" s="136">
        <v>171.72</v>
      </c>
      <c r="M70" s="136">
        <v>15.27</v>
      </c>
      <c r="N70" s="140">
        <f t="shared" si="1"/>
        <v>45.25</v>
      </c>
      <c r="O70" s="136" t="s">
        <v>722</v>
      </c>
    </row>
    <row r="71">
      <c r="A71" s="136">
        <v>69.0</v>
      </c>
      <c r="B71" s="137" t="s">
        <v>410</v>
      </c>
      <c r="C71" s="136" t="s">
        <v>795</v>
      </c>
      <c r="D71" s="136" t="s">
        <v>384</v>
      </c>
      <c r="E71" s="138">
        <v>43202.0</v>
      </c>
      <c r="F71" s="136">
        <v>5.0</v>
      </c>
      <c r="G71" s="139">
        <v>1499.0</v>
      </c>
      <c r="H71" s="136">
        <v>29.98</v>
      </c>
      <c r="I71" s="139">
        <v>1469.02</v>
      </c>
      <c r="J71" s="136">
        <v>0.81</v>
      </c>
      <c r="K71" s="139">
        <v>1282.03</v>
      </c>
      <c r="L71" s="136">
        <v>171.72</v>
      </c>
      <c r="M71" s="136">
        <v>15.27</v>
      </c>
      <c r="N71" s="140">
        <f t="shared" si="1"/>
        <v>45.25</v>
      </c>
      <c r="O71" s="136" t="s">
        <v>722</v>
      </c>
    </row>
    <row r="72">
      <c r="A72" s="136">
        <v>70.0</v>
      </c>
      <c r="B72" s="137" t="s">
        <v>410</v>
      </c>
      <c r="C72" s="136" t="s">
        <v>796</v>
      </c>
      <c r="D72" s="136" t="s">
        <v>384</v>
      </c>
      <c r="E72" s="138">
        <v>43202.0</v>
      </c>
      <c r="F72" s="136">
        <v>5.0</v>
      </c>
      <c r="G72" s="139">
        <v>1499.0</v>
      </c>
      <c r="H72" s="136">
        <v>29.98</v>
      </c>
      <c r="I72" s="139">
        <v>1469.02</v>
      </c>
      <c r="J72" s="136">
        <v>0.81</v>
      </c>
      <c r="K72" s="139">
        <v>1282.03</v>
      </c>
      <c r="L72" s="136">
        <v>171.72</v>
      </c>
      <c r="M72" s="136">
        <v>15.27</v>
      </c>
      <c r="N72" s="140">
        <f t="shared" si="1"/>
        <v>45.25</v>
      </c>
      <c r="O72" s="136" t="s">
        <v>722</v>
      </c>
    </row>
    <row r="73">
      <c r="A73" s="136">
        <v>71.0</v>
      </c>
      <c r="B73" s="137" t="s">
        <v>410</v>
      </c>
      <c r="C73" s="136" t="s">
        <v>797</v>
      </c>
      <c r="D73" s="136" t="s">
        <v>384</v>
      </c>
      <c r="E73" s="138">
        <v>43202.0</v>
      </c>
      <c r="F73" s="136">
        <v>5.0</v>
      </c>
      <c r="G73" s="139">
        <v>1499.0</v>
      </c>
      <c r="H73" s="136">
        <v>29.98</v>
      </c>
      <c r="I73" s="139">
        <v>1469.02</v>
      </c>
      <c r="J73" s="136">
        <v>0.81</v>
      </c>
      <c r="K73" s="139">
        <v>1282.03</v>
      </c>
      <c r="L73" s="136">
        <v>171.72</v>
      </c>
      <c r="M73" s="136">
        <v>15.27</v>
      </c>
      <c r="N73" s="140">
        <f t="shared" si="1"/>
        <v>45.25</v>
      </c>
      <c r="O73" s="136" t="s">
        <v>722</v>
      </c>
    </row>
    <row r="74">
      <c r="A74" s="136">
        <v>72.0</v>
      </c>
      <c r="B74" s="137" t="s">
        <v>410</v>
      </c>
      <c r="C74" s="136" t="s">
        <v>798</v>
      </c>
      <c r="D74" s="136" t="s">
        <v>384</v>
      </c>
      <c r="E74" s="138">
        <v>43202.0</v>
      </c>
      <c r="F74" s="136">
        <v>5.0</v>
      </c>
      <c r="G74" s="139">
        <v>1499.0</v>
      </c>
      <c r="H74" s="136">
        <v>29.98</v>
      </c>
      <c r="I74" s="139">
        <v>1469.02</v>
      </c>
      <c r="J74" s="136">
        <v>0.81</v>
      </c>
      <c r="K74" s="139">
        <v>1282.02</v>
      </c>
      <c r="L74" s="136">
        <v>171.72</v>
      </c>
      <c r="M74" s="136">
        <v>15.28</v>
      </c>
      <c r="N74" s="140">
        <f t="shared" si="1"/>
        <v>45.26</v>
      </c>
      <c r="O74" s="136" t="s">
        <v>722</v>
      </c>
    </row>
    <row r="75">
      <c r="A75" s="136">
        <v>73.0</v>
      </c>
      <c r="B75" s="137" t="s">
        <v>410</v>
      </c>
      <c r="C75" s="136" t="s">
        <v>799</v>
      </c>
      <c r="D75" s="136" t="s">
        <v>384</v>
      </c>
      <c r="E75" s="138">
        <v>43202.0</v>
      </c>
      <c r="F75" s="136">
        <v>5.0</v>
      </c>
      <c r="G75" s="139">
        <v>1499.0</v>
      </c>
      <c r="H75" s="136">
        <v>29.98</v>
      </c>
      <c r="I75" s="139">
        <v>1469.02</v>
      </c>
      <c r="J75" s="136">
        <v>0.81</v>
      </c>
      <c r="K75" s="139">
        <v>1282.02</v>
      </c>
      <c r="L75" s="136">
        <v>171.72</v>
      </c>
      <c r="M75" s="136">
        <v>15.28</v>
      </c>
      <c r="N75" s="140">
        <f t="shared" si="1"/>
        <v>45.26</v>
      </c>
      <c r="O75" s="136" t="s">
        <v>722</v>
      </c>
    </row>
    <row r="76">
      <c r="A76" s="136">
        <v>74.0</v>
      </c>
      <c r="B76" s="137" t="s">
        <v>410</v>
      </c>
      <c r="C76" s="136" t="s">
        <v>800</v>
      </c>
      <c r="D76" s="136" t="s">
        <v>384</v>
      </c>
      <c r="E76" s="138">
        <v>43202.0</v>
      </c>
      <c r="F76" s="136">
        <v>5.0</v>
      </c>
      <c r="G76" s="139">
        <v>1499.0</v>
      </c>
      <c r="H76" s="136">
        <v>29.98</v>
      </c>
      <c r="I76" s="139">
        <v>1469.02</v>
      </c>
      <c r="J76" s="136">
        <v>0.81</v>
      </c>
      <c r="K76" s="139">
        <v>1282.03</v>
      </c>
      <c r="L76" s="136">
        <v>171.72</v>
      </c>
      <c r="M76" s="136">
        <v>15.27</v>
      </c>
      <c r="N76" s="140">
        <f t="shared" si="1"/>
        <v>45.25</v>
      </c>
      <c r="O76" s="136" t="s">
        <v>722</v>
      </c>
    </row>
    <row r="77">
      <c r="A77" s="136">
        <v>75.0</v>
      </c>
      <c r="B77" s="137" t="s">
        <v>354</v>
      </c>
      <c r="C77" s="136" t="s">
        <v>801</v>
      </c>
      <c r="D77" s="136" t="s">
        <v>384</v>
      </c>
      <c r="E77" s="138">
        <v>43202.0</v>
      </c>
      <c r="F77" s="136">
        <v>5.0</v>
      </c>
      <c r="G77" s="139">
        <v>2189.0</v>
      </c>
      <c r="H77" s="136">
        <v>43.78</v>
      </c>
      <c r="I77" s="139">
        <v>2145.22</v>
      </c>
      <c r="J77" s="136">
        <v>1.18</v>
      </c>
      <c r="K77" s="139">
        <v>1871.13</v>
      </c>
      <c r="L77" s="136">
        <v>250.16</v>
      </c>
      <c r="M77" s="136">
        <v>23.93</v>
      </c>
      <c r="N77" s="140">
        <f t="shared" si="1"/>
        <v>67.71</v>
      </c>
      <c r="O77" s="136" t="s">
        <v>722</v>
      </c>
    </row>
    <row r="78">
      <c r="A78" s="136">
        <v>76.0</v>
      </c>
      <c r="B78" s="137" t="s">
        <v>802</v>
      </c>
      <c r="C78" s="136" t="s">
        <v>803</v>
      </c>
      <c r="D78" s="136" t="s">
        <v>384</v>
      </c>
      <c r="E78" s="138">
        <v>43202.0</v>
      </c>
      <c r="F78" s="136">
        <v>5.0</v>
      </c>
      <c r="G78" s="139">
        <v>2189.0</v>
      </c>
      <c r="H78" s="136">
        <v>43.78</v>
      </c>
      <c r="I78" s="139">
        <v>2145.22</v>
      </c>
      <c r="J78" s="136">
        <v>1.18</v>
      </c>
      <c r="K78" s="139">
        <v>1871.13</v>
      </c>
      <c r="L78" s="136">
        <v>250.16</v>
      </c>
      <c r="M78" s="136">
        <v>23.93</v>
      </c>
      <c r="N78" s="140">
        <f t="shared" si="1"/>
        <v>67.71</v>
      </c>
      <c r="O78" s="136" t="s">
        <v>722</v>
      </c>
    </row>
    <row r="79">
      <c r="A79" s="136">
        <v>77.0</v>
      </c>
      <c r="B79" s="137" t="s">
        <v>354</v>
      </c>
      <c r="C79" s="136" t="s">
        <v>804</v>
      </c>
      <c r="D79" s="136" t="s">
        <v>384</v>
      </c>
      <c r="E79" s="138">
        <v>43202.0</v>
      </c>
      <c r="F79" s="136">
        <v>5.0</v>
      </c>
      <c r="G79" s="139">
        <v>2189.0</v>
      </c>
      <c r="H79" s="136">
        <v>43.78</v>
      </c>
      <c r="I79" s="139">
        <v>2145.22</v>
      </c>
      <c r="J79" s="136">
        <v>1.18</v>
      </c>
      <c r="K79" s="139">
        <v>1871.13</v>
      </c>
      <c r="L79" s="136">
        <v>250.16</v>
      </c>
      <c r="M79" s="136">
        <v>23.93</v>
      </c>
      <c r="N79" s="140">
        <f t="shared" si="1"/>
        <v>67.71</v>
      </c>
      <c r="O79" s="136" t="s">
        <v>722</v>
      </c>
    </row>
    <row r="80">
      <c r="A80" s="136">
        <v>78.0</v>
      </c>
      <c r="B80" s="137" t="s">
        <v>354</v>
      </c>
      <c r="C80" s="136" t="s">
        <v>805</v>
      </c>
      <c r="D80" s="136" t="s">
        <v>384</v>
      </c>
      <c r="E80" s="138">
        <v>43202.0</v>
      </c>
      <c r="F80" s="136">
        <v>5.0</v>
      </c>
      <c r="G80" s="139">
        <v>2189.0</v>
      </c>
      <c r="H80" s="136">
        <v>43.78</v>
      </c>
      <c r="I80" s="139">
        <v>2145.22</v>
      </c>
      <c r="J80" s="136">
        <v>1.18</v>
      </c>
      <c r="K80" s="139">
        <v>1871.13</v>
      </c>
      <c r="L80" s="136">
        <v>250.16</v>
      </c>
      <c r="M80" s="136">
        <v>23.93</v>
      </c>
      <c r="N80" s="140">
        <f t="shared" si="1"/>
        <v>67.71</v>
      </c>
      <c r="O80" s="136" t="s">
        <v>722</v>
      </c>
    </row>
    <row r="81">
      <c r="A81" s="136">
        <v>79.0</v>
      </c>
      <c r="B81" s="137" t="s">
        <v>410</v>
      </c>
      <c r="C81" s="136" t="s">
        <v>806</v>
      </c>
      <c r="D81" s="136" t="s">
        <v>384</v>
      </c>
      <c r="E81" s="138">
        <v>43202.0</v>
      </c>
      <c r="F81" s="136">
        <v>5.0</v>
      </c>
      <c r="G81" s="139">
        <v>1499.0</v>
      </c>
      <c r="H81" s="136">
        <v>29.98</v>
      </c>
      <c r="I81" s="139">
        <v>1469.02</v>
      </c>
      <c r="J81" s="136">
        <v>0.81</v>
      </c>
      <c r="K81" s="139">
        <v>1282.03</v>
      </c>
      <c r="L81" s="136">
        <v>171.72</v>
      </c>
      <c r="M81" s="136">
        <v>15.27</v>
      </c>
      <c r="N81" s="140">
        <f t="shared" si="1"/>
        <v>45.25</v>
      </c>
      <c r="O81" s="136" t="s">
        <v>722</v>
      </c>
    </row>
    <row r="82">
      <c r="A82" s="136">
        <v>80.0</v>
      </c>
      <c r="B82" s="137" t="s">
        <v>807</v>
      </c>
      <c r="C82" s="136" t="s">
        <v>808</v>
      </c>
      <c r="D82" s="136" t="s">
        <v>384</v>
      </c>
      <c r="E82" s="138">
        <v>43462.0</v>
      </c>
      <c r="F82" s="136">
        <v>5.0</v>
      </c>
      <c r="G82" s="139">
        <v>42000.0</v>
      </c>
      <c r="H82" s="136">
        <v>840.0</v>
      </c>
      <c r="I82" s="139">
        <v>41160.0</v>
      </c>
      <c r="J82" s="136">
        <v>22.55</v>
      </c>
      <c r="K82" s="139">
        <v>35454.28</v>
      </c>
      <c r="L82" s="139">
        <v>4780.6</v>
      </c>
      <c r="M82" s="136">
        <v>925.12</v>
      </c>
      <c r="N82" s="140">
        <f t="shared" si="1"/>
        <v>1765.12</v>
      </c>
      <c r="O82" s="136" t="s">
        <v>722</v>
      </c>
    </row>
    <row r="83">
      <c r="A83" s="136">
        <v>81.0</v>
      </c>
      <c r="B83" s="137" t="s">
        <v>425</v>
      </c>
      <c r="C83" s="136" t="s">
        <v>809</v>
      </c>
      <c r="D83" s="136" t="s">
        <v>384</v>
      </c>
      <c r="E83" s="138">
        <v>43455.0</v>
      </c>
      <c r="F83" s="136">
        <v>5.0</v>
      </c>
      <c r="G83" s="139">
        <v>13790.0</v>
      </c>
      <c r="H83" s="136">
        <v>275.8</v>
      </c>
      <c r="I83" s="139">
        <v>13514.2</v>
      </c>
      <c r="J83" s="136">
        <v>7.41</v>
      </c>
      <c r="K83" s="139">
        <v>11682.68</v>
      </c>
      <c r="L83" s="139">
        <v>1570.92</v>
      </c>
      <c r="M83" s="136">
        <v>260.6</v>
      </c>
      <c r="N83" s="140">
        <f t="shared" si="1"/>
        <v>536.4</v>
      </c>
      <c r="O83" s="136" t="s">
        <v>722</v>
      </c>
    </row>
    <row r="84">
      <c r="A84" s="136">
        <v>82.0</v>
      </c>
      <c r="B84" s="137" t="s">
        <v>425</v>
      </c>
      <c r="C84" s="136" t="s">
        <v>810</v>
      </c>
      <c r="D84" s="136" t="s">
        <v>384</v>
      </c>
      <c r="E84" s="138">
        <v>43455.0</v>
      </c>
      <c r="F84" s="136">
        <v>5.0</v>
      </c>
      <c r="G84" s="139">
        <v>13790.0</v>
      </c>
      <c r="H84" s="136">
        <v>275.8</v>
      </c>
      <c r="I84" s="139">
        <v>13514.2</v>
      </c>
      <c r="J84" s="136">
        <v>7.41</v>
      </c>
      <c r="K84" s="139">
        <v>11682.68</v>
      </c>
      <c r="L84" s="139">
        <v>1570.92</v>
      </c>
      <c r="M84" s="136">
        <v>260.6</v>
      </c>
      <c r="N84" s="140">
        <f t="shared" si="1"/>
        <v>536.4</v>
      </c>
      <c r="O84" s="136" t="s">
        <v>722</v>
      </c>
    </row>
    <row r="85">
      <c r="A85" s="136">
        <v>83.0</v>
      </c>
      <c r="B85" s="137" t="s">
        <v>807</v>
      </c>
      <c r="C85" s="136" t="s">
        <v>811</v>
      </c>
      <c r="D85" s="136" t="s">
        <v>384</v>
      </c>
      <c r="E85" s="138">
        <v>43671.0</v>
      </c>
      <c r="F85" s="136">
        <v>5.0</v>
      </c>
      <c r="G85" s="139">
        <v>39844.0</v>
      </c>
      <c r="H85" s="136">
        <v>796.88</v>
      </c>
      <c r="I85" s="139">
        <v>39047.12</v>
      </c>
      <c r="J85" s="136">
        <v>21.4</v>
      </c>
      <c r="K85" s="139">
        <v>33571.62</v>
      </c>
      <c r="L85" s="139">
        <v>4536.8</v>
      </c>
      <c r="M85" s="136">
        <v>938.7</v>
      </c>
      <c r="N85" s="140">
        <f t="shared" si="1"/>
        <v>1735.58</v>
      </c>
      <c r="O85" s="136" t="s">
        <v>722</v>
      </c>
    </row>
    <row r="86">
      <c r="A86" s="136">
        <v>84.0</v>
      </c>
      <c r="B86" s="137" t="s">
        <v>807</v>
      </c>
      <c r="C86" s="136" t="s">
        <v>812</v>
      </c>
      <c r="D86" s="136" t="s">
        <v>384</v>
      </c>
      <c r="E86" s="138">
        <v>43671.0</v>
      </c>
      <c r="F86" s="136">
        <v>5.0</v>
      </c>
      <c r="G86" s="139">
        <v>39844.0</v>
      </c>
      <c r="H86" s="136">
        <v>796.88</v>
      </c>
      <c r="I86" s="139">
        <v>39047.12</v>
      </c>
      <c r="J86" s="136">
        <v>21.4</v>
      </c>
      <c r="K86" s="139">
        <v>33571.62</v>
      </c>
      <c r="L86" s="139">
        <v>4536.8</v>
      </c>
      <c r="M86" s="136">
        <v>938.7</v>
      </c>
      <c r="N86" s="140">
        <f t="shared" si="1"/>
        <v>1735.58</v>
      </c>
      <c r="O86" s="136" t="s">
        <v>722</v>
      </c>
    </row>
    <row r="87">
      <c r="A87" s="136">
        <v>85.0</v>
      </c>
      <c r="B87" s="137" t="s">
        <v>440</v>
      </c>
      <c r="C87" s="136" t="s">
        <v>813</v>
      </c>
      <c r="D87" s="136" t="s">
        <v>384</v>
      </c>
      <c r="E87" s="138">
        <v>43664.0</v>
      </c>
      <c r="F87" s="136">
        <v>5.0</v>
      </c>
      <c r="G87" s="139">
        <v>4890.0</v>
      </c>
      <c r="H87" s="136">
        <v>97.8</v>
      </c>
      <c r="I87" s="139">
        <v>4792.2</v>
      </c>
      <c r="J87" s="136">
        <v>2.63</v>
      </c>
      <c r="K87" s="139">
        <v>4121.52</v>
      </c>
      <c r="L87" s="136">
        <v>557.56</v>
      </c>
      <c r="M87" s="136">
        <v>113.12</v>
      </c>
      <c r="N87" s="140">
        <f t="shared" si="1"/>
        <v>210.92</v>
      </c>
      <c r="O87" s="136" t="s">
        <v>722</v>
      </c>
    </row>
    <row r="88">
      <c r="A88" s="136">
        <v>86.0</v>
      </c>
      <c r="B88" s="137" t="s">
        <v>425</v>
      </c>
      <c r="C88" s="136" t="s">
        <v>814</v>
      </c>
      <c r="D88" s="136" t="s">
        <v>384</v>
      </c>
      <c r="E88" s="138">
        <v>43671.0</v>
      </c>
      <c r="F88" s="136">
        <v>5.0</v>
      </c>
      <c r="G88" s="139">
        <v>13120.0</v>
      </c>
      <c r="H88" s="136">
        <v>262.4</v>
      </c>
      <c r="I88" s="139">
        <v>12857.6</v>
      </c>
      <c r="J88" s="136">
        <v>7.05</v>
      </c>
      <c r="K88" s="139">
        <v>11055.82</v>
      </c>
      <c r="L88" s="139">
        <v>1494.6</v>
      </c>
      <c r="M88" s="136">
        <v>307.18</v>
      </c>
      <c r="N88" s="140">
        <f t="shared" si="1"/>
        <v>569.58</v>
      </c>
      <c r="O88" s="136" t="s">
        <v>722</v>
      </c>
    </row>
    <row r="89">
      <c r="A89" s="136">
        <v>87.0</v>
      </c>
      <c r="B89" s="137" t="s">
        <v>429</v>
      </c>
      <c r="C89" s="136" t="s">
        <v>815</v>
      </c>
      <c r="D89" s="136" t="s">
        <v>384</v>
      </c>
      <c r="E89" s="138">
        <v>43768.0</v>
      </c>
      <c r="F89" s="136">
        <v>5.0</v>
      </c>
      <c r="G89" s="139">
        <v>42000.0</v>
      </c>
      <c r="H89" s="136">
        <v>840.0</v>
      </c>
      <c r="I89" s="139">
        <v>41160.0</v>
      </c>
      <c r="J89" s="136">
        <v>22.55</v>
      </c>
      <c r="K89" s="139">
        <v>35385.3</v>
      </c>
      <c r="L89" s="139">
        <v>4780.6</v>
      </c>
      <c r="M89" s="136">
        <v>994.1</v>
      </c>
      <c r="N89" s="140">
        <f t="shared" si="1"/>
        <v>1834.1</v>
      </c>
      <c r="O89" s="136" t="s">
        <v>722</v>
      </c>
    </row>
    <row r="90">
      <c r="A90" s="136">
        <v>88.0</v>
      </c>
      <c r="B90" s="137" t="s">
        <v>816</v>
      </c>
      <c r="C90" s="136" t="s">
        <v>817</v>
      </c>
      <c r="D90" s="136" t="s">
        <v>384</v>
      </c>
      <c r="E90" s="138">
        <v>44086.0</v>
      </c>
      <c r="F90" s="136">
        <v>5.0</v>
      </c>
      <c r="G90" s="139">
        <v>2500.0</v>
      </c>
      <c r="H90" s="136">
        <v>50.0</v>
      </c>
      <c r="I90" s="139">
        <v>2450.0</v>
      </c>
      <c r="J90" s="136">
        <v>1.34</v>
      </c>
      <c r="K90" s="139">
        <v>1782.84</v>
      </c>
      <c r="L90" s="136">
        <v>284.08</v>
      </c>
      <c r="M90" s="136">
        <v>383.08</v>
      </c>
      <c r="N90" s="140">
        <f t="shared" si="1"/>
        <v>433.08</v>
      </c>
      <c r="O90" s="136" t="s">
        <v>722</v>
      </c>
    </row>
    <row r="91">
      <c r="A91" s="136">
        <v>89.0</v>
      </c>
      <c r="B91" s="137" t="s">
        <v>440</v>
      </c>
      <c r="C91" s="136" t="s">
        <v>818</v>
      </c>
      <c r="D91" s="136" t="s">
        <v>384</v>
      </c>
      <c r="E91" s="138">
        <v>44384.0</v>
      </c>
      <c r="F91" s="136">
        <v>5.0</v>
      </c>
      <c r="G91" s="139">
        <v>23890.0</v>
      </c>
      <c r="H91" s="136">
        <v>477.8</v>
      </c>
      <c r="I91" s="139">
        <v>23412.2</v>
      </c>
      <c r="J91" s="136">
        <v>12.83</v>
      </c>
      <c r="K91" s="139">
        <v>14699.47</v>
      </c>
      <c r="L91" s="139">
        <v>2719.96</v>
      </c>
      <c r="M91" s="139">
        <v>5992.77</v>
      </c>
      <c r="N91" s="140">
        <f t="shared" si="1"/>
        <v>6470.57</v>
      </c>
      <c r="O91" s="136" t="s">
        <v>722</v>
      </c>
    </row>
    <row r="92">
      <c r="A92" s="136">
        <v>90.0</v>
      </c>
      <c r="B92" s="137" t="s">
        <v>425</v>
      </c>
      <c r="C92" s="136" t="s">
        <v>819</v>
      </c>
      <c r="D92" s="136" t="s">
        <v>384</v>
      </c>
      <c r="E92" s="138">
        <v>44651.0</v>
      </c>
      <c r="F92" s="136">
        <v>5.0</v>
      </c>
      <c r="G92" s="139">
        <v>11800.0</v>
      </c>
      <c r="H92" s="136">
        <v>236.0</v>
      </c>
      <c r="I92" s="139">
        <v>11564.0</v>
      </c>
      <c r="J92" s="136">
        <v>6.34</v>
      </c>
      <c r="K92" s="139">
        <v>5971.65</v>
      </c>
      <c r="L92" s="139">
        <v>1344.08</v>
      </c>
      <c r="M92" s="139">
        <v>4248.27</v>
      </c>
      <c r="N92" s="140">
        <f t="shared" si="1"/>
        <v>4484.27</v>
      </c>
      <c r="O92" s="136" t="s">
        <v>722</v>
      </c>
    </row>
    <row r="93">
      <c r="A93" s="136">
        <v>91.0</v>
      </c>
      <c r="B93" s="137" t="s">
        <v>820</v>
      </c>
      <c r="C93" s="136" t="s">
        <v>821</v>
      </c>
      <c r="D93" s="136" t="s">
        <v>384</v>
      </c>
      <c r="E93" s="138">
        <v>42537.0</v>
      </c>
      <c r="F93" s="136">
        <v>5.0</v>
      </c>
      <c r="G93" s="139">
        <v>12390.0</v>
      </c>
      <c r="H93" s="136">
        <v>0.0</v>
      </c>
      <c r="I93" s="139">
        <v>12390.0</v>
      </c>
      <c r="J93" s="136">
        <v>6.79</v>
      </c>
      <c r="K93" s="139">
        <v>12389.0</v>
      </c>
      <c r="L93" s="136">
        <v>0.0</v>
      </c>
      <c r="M93" s="136">
        <v>1.0</v>
      </c>
      <c r="N93" s="140">
        <f t="shared" si="1"/>
        <v>1</v>
      </c>
      <c r="O93" s="136" t="s">
        <v>722</v>
      </c>
    </row>
    <row r="94">
      <c r="A94" s="136">
        <v>92.0</v>
      </c>
      <c r="B94" s="137" t="s">
        <v>553</v>
      </c>
      <c r="C94" s="136" t="s">
        <v>822</v>
      </c>
      <c r="D94" s="136" t="s">
        <v>384</v>
      </c>
      <c r="E94" s="138">
        <v>42565.0</v>
      </c>
      <c r="F94" s="136">
        <v>5.0</v>
      </c>
      <c r="G94" s="139">
        <v>4990.0</v>
      </c>
      <c r="H94" s="136">
        <v>29.36</v>
      </c>
      <c r="I94" s="139">
        <v>4960.64</v>
      </c>
      <c r="J94" s="136">
        <v>2.72</v>
      </c>
      <c r="K94" s="139">
        <v>4959.64</v>
      </c>
      <c r="L94" s="136">
        <v>0.0</v>
      </c>
      <c r="M94" s="136">
        <v>1.0</v>
      </c>
      <c r="N94" s="140">
        <f t="shared" si="1"/>
        <v>30.36</v>
      </c>
      <c r="O94" s="136" t="s">
        <v>722</v>
      </c>
    </row>
    <row r="95">
      <c r="A95" s="136">
        <v>93.0</v>
      </c>
      <c r="B95" s="137" t="s">
        <v>429</v>
      </c>
      <c r="C95" s="136" t="s">
        <v>823</v>
      </c>
      <c r="D95" s="136" t="s">
        <v>384</v>
      </c>
      <c r="E95" s="138">
        <v>42555.0</v>
      </c>
      <c r="F95" s="136">
        <v>5.0</v>
      </c>
      <c r="G95" s="139">
        <v>37490.0</v>
      </c>
      <c r="H95" s="136">
        <v>749.8</v>
      </c>
      <c r="I95" s="139">
        <v>36740.2</v>
      </c>
      <c r="J95" s="136">
        <v>20.13</v>
      </c>
      <c r="K95" s="139">
        <v>36739.2</v>
      </c>
      <c r="L95" s="136">
        <v>0.0</v>
      </c>
      <c r="M95" s="136">
        <v>1.0</v>
      </c>
      <c r="N95" s="140">
        <f t="shared" si="1"/>
        <v>750.8</v>
      </c>
      <c r="O95" s="136" t="s">
        <v>722</v>
      </c>
    </row>
    <row r="96">
      <c r="A96" s="136">
        <v>94.0</v>
      </c>
      <c r="B96" s="137" t="s">
        <v>429</v>
      </c>
      <c r="C96" s="136" t="s">
        <v>824</v>
      </c>
      <c r="D96" s="136" t="s">
        <v>384</v>
      </c>
      <c r="E96" s="138">
        <v>42600.0</v>
      </c>
      <c r="F96" s="136">
        <v>5.0</v>
      </c>
      <c r="G96" s="139">
        <v>37490.0</v>
      </c>
      <c r="H96" s="136">
        <v>749.8</v>
      </c>
      <c r="I96" s="139">
        <v>36740.2</v>
      </c>
      <c r="J96" s="136">
        <v>20.13</v>
      </c>
      <c r="K96" s="139">
        <v>36739.2</v>
      </c>
      <c r="L96" s="136">
        <v>0.0</v>
      </c>
      <c r="M96" s="136">
        <v>1.0</v>
      </c>
      <c r="N96" s="140">
        <f t="shared" si="1"/>
        <v>750.8</v>
      </c>
      <c r="O96" s="136" t="s">
        <v>722</v>
      </c>
    </row>
    <row r="97">
      <c r="A97" s="136">
        <v>95.0</v>
      </c>
      <c r="B97" s="137" t="s">
        <v>429</v>
      </c>
      <c r="C97" s="136" t="s">
        <v>825</v>
      </c>
      <c r="D97" s="136" t="s">
        <v>384</v>
      </c>
      <c r="E97" s="138">
        <v>42600.0</v>
      </c>
      <c r="F97" s="136">
        <v>5.0</v>
      </c>
      <c r="G97" s="139">
        <v>37490.0</v>
      </c>
      <c r="H97" s="136">
        <v>749.8</v>
      </c>
      <c r="I97" s="139">
        <v>36740.2</v>
      </c>
      <c r="J97" s="136">
        <v>20.13</v>
      </c>
      <c r="K97" s="139">
        <v>36739.2</v>
      </c>
      <c r="L97" s="136">
        <v>0.0</v>
      </c>
      <c r="M97" s="136">
        <v>1.0</v>
      </c>
      <c r="N97" s="140">
        <f t="shared" si="1"/>
        <v>750.8</v>
      </c>
      <c r="O97" s="136" t="s">
        <v>722</v>
      </c>
    </row>
    <row r="98">
      <c r="A98" s="136">
        <v>96.0</v>
      </c>
      <c r="B98" s="137" t="s">
        <v>429</v>
      </c>
      <c r="C98" s="136" t="s">
        <v>826</v>
      </c>
      <c r="D98" s="136" t="s">
        <v>384</v>
      </c>
      <c r="E98" s="138">
        <v>42600.0</v>
      </c>
      <c r="F98" s="136">
        <v>5.0</v>
      </c>
      <c r="G98" s="139">
        <v>37490.0</v>
      </c>
      <c r="H98" s="136">
        <v>749.8</v>
      </c>
      <c r="I98" s="139">
        <v>36740.2</v>
      </c>
      <c r="J98" s="136">
        <v>20.13</v>
      </c>
      <c r="K98" s="139">
        <v>36739.2</v>
      </c>
      <c r="L98" s="136">
        <v>0.0</v>
      </c>
      <c r="M98" s="136">
        <v>1.0</v>
      </c>
      <c r="N98" s="140">
        <f t="shared" si="1"/>
        <v>750.8</v>
      </c>
      <c r="O98" s="136" t="s">
        <v>722</v>
      </c>
    </row>
    <row r="99">
      <c r="A99" s="136">
        <v>97.0</v>
      </c>
      <c r="B99" s="137" t="s">
        <v>429</v>
      </c>
      <c r="C99" s="136" t="s">
        <v>827</v>
      </c>
      <c r="D99" s="136" t="s">
        <v>384</v>
      </c>
      <c r="E99" s="138">
        <v>43328.0</v>
      </c>
      <c r="F99" s="136">
        <v>5.0</v>
      </c>
      <c r="G99" s="139">
        <v>64728.0</v>
      </c>
      <c r="H99" s="139">
        <v>1294.56</v>
      </c>
      <c r="I99" s="139">
        <v>63433.44</v>
      </c>
      <c r="J99" s="136">
        <v>34.76</v>
      </c>
      <c r="K99" s="139">
        <v>63432.44</v>
      </c>
      <c r="L99" s="136">
        <v>0.0</v>
      </c>
      <c r="M99" s="136">
        <v>1.0</v>
      </c>
      <c r="N99" s="140">
        <f t="shared" si="1"/>
        <v>1295.56</v>
      </c>
      <c r="O99" s="136" t="s">
        <v>722</v>
      </c>
    </row>
    <row r="100">
      <c r="A100" s="136">
        <v>98.0</v>
      </c>
      <c r="B100" s="137" t="s">
        <v>429</v>
      </c>
      <c r="C100" s="136" t="s">
        <v>828</v>
      </c>
      <c r="D100" s="136" t="s">
        <v>384</v>
      </c>
      <c r="E100" s="138">
        <v>43117.0</v>
      </c>
      <c r="F100" s="136">
        <v>5.0</v>
      </c>
      <c r="G100" s="139">
        <v>64728.0</v>
      </c>
      <c r="H100" s="139">
        <v>1294.56</v>
      </c>
      <c r="I100" s="139">
        <v>63433.44</v>
      </c>
      <c r="J100" s="136">
        <v>34.76</v>
      </c>
      <c r="K100" s="139">
        <v>63432.44</v>
      </c>
      <c r="L100" s="136">
        <v>0.0</v>
      </c>
      <c r="M100" s="136">
        <v>1.0</v>
      </c>
      <c r="N100" s="140">
        <f t="shared" si="1"/>
        <v>1295.56</v>
      </c>
      <c r="O100" s="136" t="s">
        <v>722</v>
      </c>
    </row>
    <row r="101">
      <c r="A101" s="136">
        <v>99.0</v>
      </c>
      <c r="B101" s="137" t="s">
        <v>476</v>
      </c>
      <c r="C101" s="136" t="s">
        <v>829</v>
      </c>
      <c r="D101" s="136" t="s">
        <v>384</v>
      </c>
      <c r="E101" s="138">
        <v>43347.0</v>
      </c>
      <c r="F101" s="136">
        <v>5.0</v>
      </c>
      <c r="G101" s="139">
        <v>3950.0</v>
      </c>
      <c r="H101" s="136">
        <v>79.0</v>
      </c>
      <c r="I101" s="139">
        <v>3871.0</v>
      </c>
      <c r="J101" s="136">
        <v>2.12</v>
      </c>
      <c r="K101" s="139">
        <v>3870.0</v>
      </c>
      <c r="L101" s="136">
        <v>0.0</v>
      </c>
      <c r="M101" s="136">
        <v>1.0</v>
      </c>
      <c r="N101" s="140">
        <f t="shared" si="1"/>
        <v>80</v>
      </c>
      <c r="O101" s="136" t="s">
        <v>722</v>
      </c>
    </row>
    <row r="102">
      <c r="A102" s="23"/>
      <c r="B102" s="27"/>
      <c r="C102" s="141"/>
      <c r="D102" s="142"/>
      <c r="E102" s="7"/>
      <c r="F102" s="6"/>
      <c r="G102" s="6"/>
      <c r="H102" s="6"/>
      <c r="I102" s="6"/>
      <c r="J102" s="6"/>
      <c r="K102" s="6"/>
      <c r="L102" s="6"/>
      <c r="M102" s="6"/>
      <c r="N102" s="15">
        <f>SUM(N3:N101)</f>
        <v>35754.85</v>
      </c>
      <c r="O102" s="6"/>
    </row>
  </sheetData>
  <mergeCells count="1">
    <mergeCell ref="A1:O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2.63"/>
    <col customWidth="1" min="3" max="3" width="13.75"/>
    <col customWidth="1" min="4" max="4" width="11.25"/>
    <col customWidth="1" min="5" max="5" width="14.5"/>
    <col customWidth="1" min="6" max="6" width="10.38"/>
    <col customWidth="1" min="7" max="7" width="11.25"/>
    <col customWidth="1" min="8" max="8" width="12.88"/>
    <col customWidth="1" min="9" max="9" width="15.5"/>
    <col customWidth="1" min="10" max="10" width="11.75"/>
    <col customWidth="1" min="11" max="11" width="12.25"/>
    <col customWidth="1" min="12" max="12" width="12.0"/>
    <col customWidth="1" min="13" max="13" width="9.38"/>
    <col customWidth="1" min="14" max="14" width="11.63"/>
    <col customWidth="1" min="15" max="15" width="8.88"/>
  </cols>
  <sheetData>
    <row r="1">
      <c r="A1" s="143" t="s">
        <v>830</v>
      </c>
      <c r="O1" s="32"/>
    </row>
    <row r="2">
      <c r="A2" s="133" t="s">
        <v>339</v>
      </c>
      <c r="B2" s="133" t="s">
        <v>340</v>
      </c>
      <c r="C2" s="133" t="s">
        <v>341</v>
      </c>
      <c r="D2" s="133" t="s">
        <v>342</v>
      </c>
      <c r="E2" s="133" t="s">
        <v>343</v>
      </c>
      <c r="F2" s="133" t="s">
        <v>345</v>
      </c>
      <c r="G2" s="133" t="s">
        <v>346</v>
      </c>
      <c r="H2" s="133" t="s">
        <v>347</v>
      </c>
      <c r="I2" s="133" t="s">
        <v>348</v>
      </c>
      <c r="J2" s="133" t="s">
        <v>349</v>
      </c>
      <c r="K2" s="133" t="s">
        <v>350</v>
      </c>
      <c r="L2" s="133" t="s">
        <v>351</v>
      </c>
      <c r="M2" s="133" t="s">
        <v>352</v>
      </c>
      <c r="N2" s="135" t="s">
        <v>719</v>
      </c>
      <c r="O2" s="133" t="s">
        <v>720</v>
      </c>
    </row>
    <row r="3">
      <c r="A3" s="136">
        <v>1.0</v>
      </c>
      <c r="B3" s="136" t="s">
        <v>203</v>
      </c>
      <c r="C3" s="136" t="s">
        <v>831</v>
      </c>
      <c r="D3" s="136" t="s">
        <v>372</v>
      </c>
      <c r="E3" s="138">
        <v>31413.0</v>
      </c>
      <c r="F3" s="136">
        <v>5.0</v>
      </c>
      <c r="G3" s="139">
        <v>1875.0</v>
      </c>
      <c r="H3" s="136">
        <v>0.0</v>
      </c>
      <c r="I3" s="139">
        <v>1875.0</v>
      </c>
      <c r="J3" s="136">
        <v>1.03</v>
      </c>
      <c r="K3" s="139">
        <v>1874.0</v>
      </c>
      <c r="L3" s="136">
        <v>0.0</v>
      </c>
      <c r="M3" s="136">
        <v>1.0</v>
      </c>
      <c r="N3" s="140">
        <f t="shared" ref="N3:N6" si="1">H3+M3</f>
        <v>1</v>
      </c>
      <c r="O3" s="136" t="s">
        <v>722</v>
      </c>
    </row>
    <row r="4">
      <c r="A4" s="136">
        <v>2.0</v>
      </c>
      <c r="B4" s="136" t="s">
        <v>203</v>
      </c>
      <c r="C4" s="136" t="s">
        <v>832</v>
      </c>
      <c r="D4" s="136" t="s">
        <v>372</v>
      </c>
      <c r="E4" s="138">
        <v>34700.0</v>
      </c>
      <c r="F4" s="136">
        <v>10.0</v>
      </c>
      <c r="G4" s="139">
        <v>2000.0</v>
      </c>
      <c r="H4" s="136">
        <v>0.0</v>
      </c>
      <c r="I4" s="139">
        <v>2000.0</v>
      </c>
      <c r="J4" s="136">
        <v>0.55</v>
      </c>
      <c r="K4" s="139">
        <v>1999.0</v>
      </c>
      <c r="L4" s="136">
        <v>0.0</v>
      </c>
      <c r="M4" s="136">
        <v>1.0</v>
      </c>
      <c r="N4" s="140">
        <f t="shared" si="1"/>
        <v>1</v>
      </c>
      <c r="O4" s="136" t="s">
        <v>722</v>
      </c>
    </row>
    <row r="5">
      <c r="A5" s="136">
        <v>3.0</v>
      </c>
      <c r="B5" s="136" t="s">
        <v>273</v>
      </c>
      <c r="C5" s="136" t="s">
        <v>833</v>
      </c>
      <c r="D5" s="136" t="s">
        <v>372</v>
      </c>
      <c r="E5" s="138">
        <v>39030.0</v>
      </c>
      <c r="F5" s="136">
        <v>10.0</v>
      </c>
      <c r="G5" s="139">
        <v>2350.0</v>
      </c>
      <c r="H5" s="136">
        <v>0.0</v>
      </c>
      <c r="I5" s="139">
        <v>2350.0</v>
      </c>
      <c r="J5" s="136">
        <v>0.64</v>
      </c>
      <c r="K5" s="139">
        <v>2349.0</v>
      </c>
      <c r="L5" s="136">
        <v>0.0</v>
      </c>
      <c r="M5" s="136">
        <v>1.0</v>
      </c>
      <c r="N5" s="140">
        <f t="shared" si="1"/>
        <v>1</v>
      </c>
      <c r="O5" s="136" t="s">
        <v>722</v>
      </c>
    </row>
    <row r="6">
      <c r="A6" s="136">
        <v>4.0</v>
      </c>
      <c r="B6" s="136" t="s">
        <v>834</v>
      </c>
      <c r="C6" s="136" t="s">
        <v>835</v>
      </c>
      <c r="D6" s="136" t="s">
        <v>372</v>
      </c>
      <c r="E6" s="138">
        <v>42660.0</v>
      </c>
      <c r="F6" s="136">
        <v>5.0</v>
      </c>
      <c r="G6" s="139">
        <v>9330.0</v>
      </c>
      <c r="H6" s="136">
        <v>186.6</v>
      </c>
      <c r="I6" s="139">
        <v>9143.4</v>
      </c>
      <c r="J6" s="136">
        <v>5.01</v>
      </c>
      <c r="K6" s="139">
        <v>9142.4</v>
      </c>
      <c r="L6" s="136">
        <v>0.0</v>
      </c>
      <c r="M6" s="136">
        <v>1.0</v>
      </c>
      <c r="N6" s="140">
        <f t="shared" si="1"/>
        <v>187.6</v>
      </c>
      <c r="O6" s="136" t="s">
        <v>722</v>
      </c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144">
        <f>SUM(N3:N6)</f>
        <v>190.6</v>
      </c>
      <c r="O7" s="32"/>
    </row>
  </sheetData>
  <mergeCells count="1">
    <mergeCell ref="A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3.0"/>
    <col customWidth="1" min="3" max="3" width="13.75"/>
    <col customWidth="1" min="4" max="4" width="20.5"/>
    <col customWidth="1" min="5" max="5" width="14.5"/>
    <col customWidth="1" min="6" max="6" width="24.75"/>
    <col customWidth="1" min="7" max="7" width="10.38"/>
    <col customWidth="1" min="8" max="8" width="11.5"/>
    <col customWidth="1" min="9" max="9" width="12.88"/>
    <col customWidth="1" min="10" max="10" width="15.5"/>
    <col customWidth="1" min="11" max="11" width="11.75"/>
    <col customWidth="1" min="12" max="12" width="12.25"/>
    <col customWidth="1" min="13" max="13" width="12.0"/>
    <col customWidth="1" min="14" max="15" width="9.38"/>
  </cols>
  <sheetData>
    <row r="1">
      <c r="A1" s="145" t="s">
        <v>836</v>
      </c>
    </row>
    <row r="2">
      <c r="A2" s="146" t="s">
        <v>837</v>
      </c>
      <c r="B2" s="146" t="s">
        <v>340</v>
      </c>
      <c r="C2" s="146" t="s">
        <v>341</v>
      </c>
      <c r="D2" s="146" t="s">
        <v>342</v>
      </c>
      <c r="E2" s="146" t="s">
        <v>343</v>
      </c>
      <c r="F2" s="146" t="s">
        <v>344</v>
      </c>
      <c r="G2" s="146" t="s">
        <v>345</v>
      </c>
      <c r="H2" s="146" t="s">
        <v>346</v>
      </c>
      <c r="I2" s="146" t="s">
        <v>347</v>
      </c>
      <c r="J2" s="146" t="s">
        <v>348</v>
      </c>
      <c r="K2" s="146" t="s">
        <v>349</v>
      </c>
      <c r="L2" s="146" t="s">
        <v>350</v>
      </c>
      <c r="M2" s="146" t="s">
        <v>351</v>
      </c>
      <c r="N2" s="146" t="s">
        <v>352</v>
      </c>
      <c r="O2" s="135" t="s">
        <v>719</v>
      </c>
    </row>
    <row r="3">
      <c r="A3" s="147">
        <v>1.0</v>
      </c>
      <c r="B3" s="148" t="s">
        <v>838</v>
      </c>
      <c r="C3" s="148" t="s">
        <v>839</v>
      </c>
      <c r="D3" s="148" t="s">
        <v>234</v>
      </c>
      <c r="E3" s="149" t="s">
        <v>840</v>
      </c>
      <c r="F3" s="148" t="s">
        <v>437</v>
      </c>
      <c r="G3" s="147">
        <v>5.0</v>
      </c>
      <c r="H3" s="150">
        <v>292720.0</v>
      </c>
      <c r="I3" s="147">
        <v>1.0</v>
      </c>
      <c r="J3" s="150">
        <v>292719.0</v>
      </c>
      <c r="K3" s="147">
        <v>160.39</v>
      </c>
      <c r="L3" s="150">
        <v>292718.0</v>
      </c>
      <c r="M3" s="147">
        <v>0.0</v>
      </c>
      <c r="N3" s="147">
        <v>1.0</v>
      </c>
      <c r="O3" s="151">
        <f t="shared" ref="O3:O45" si="1">I3+N3</f>
        <v>2</v>
      </c>
    </row>
    <row r="4">
      <c r="A4" s="147">
        <v>2.0</v>
      </c>
      <c r="B4" s="148" t="s">
        <v>841</v>
      </c>
      <c r="C4" s="148" t="s">
        <v>842</v>
      </c>
      <c r="D4" s="148" t="s">
        <v>445</v>
      </c>
      <c r="E4" s="149" t="s">
        <v>843</v>
      </c>
      <c r="F4" s="148" t="s">
        <v>844</v>
      </c>
      <c r="G4" s="147">
        <v>5.0</v>
      </c>
      <c r="H4" s="150">
        <v>125000.0</v>
      </c>
      <c r="I4" s="147">
        <v>1.0</v>
      </c>
      <c r="J4" s="150">
        <v>124999.0</v>
      </c>
      <c r="K4" s="147">
        <v>68.49</v>
      </c>
      <c r="L4" s="150">
        <v>124998.0</v>
      </c>
      <c r="M4" s="147">
        <v>0.0</v>
      </c>
      <c r="N4" s="147">
        <v>1.0</v>
      </c>
      <c r="O4" s="151">
        <f t="shared" si="1"/>
        <v>2</v>
      </c>
    </row>
    <row r="5">
      <c r="A5" s="147">
        <v>3.0</v>
      </c>
      <c r="B5" s="148" t="s">
        <v>845</v>
      </c>
      <c r="C5" s="148" t="s">
        <v>846</v>
      </c>
      <c r="D5" s="148" t="s">
        <v>190</v>
      </c>
      <c r="E5" s="149" t="s">
        <v>847</v>
      </c>
      <c r="F5" s="148" t="s">
        <v>848</v>
      </c>
      <c r="G5" s="147">
        <v>5.0</v>
      </c>
      <c r="H5" s="150">
        <v>16992.0</v>
      </c>
      <c r="I5" s="147">
        <v>1.0</v>
      </c>
      <c r="J5" s="150">
        <v>16991.0</v>
      </c>
      <c r="K5" s="147">
        <v>9.31</v>
      </c>
      <c r="L5" s="150">
        <v>16990.0</v>
      </c>
      <c r="M5" s="147">
        <v>0.0</v>
      </c>
      <c r="N5" s="147">
        <v>1.0</v>
      </c>
      <c r="O5" s="151">
        <f t="shared" si="1"/>
        <v>2</v>
      </c>
    </row>
    <row r="6">
      <c r="A6" s="147">
        <v>4.0</v>
      </c>
      <c r="B6" s="148" t="s">
        <v>849</v>
      </c>
      <c r="C6" s="148" t="s">
        <v>850</v>
      </c>
      <c r="D6" s="148" t="s">
        <v>173</v>
      </c>
      <c r="E6" s="149" t="s">
        <v>847</v>
      </c>
      <c r="F6" s="148" t="s">
        <v>494</v>
      </c>
      <c r="G6" s="147">
        <v>5.0</v>
      </c>
      <c r="H6" s="150">
        <v>16992.0</v>
      </c>
      <c r="I6" s="147">
        <v>1.0</v>
      </c>
      <c r="J6" s="150">
        <v>16991.0</v>
      </c>
      <c r="K6" s="147">
        <v>9.31</v>
      </c>
      <c r="L6" s="150">
        <v>16990.0</v>
      </c>
      <c r="M6" s="147">
        <v>0.0</v>
      </c>
      <c r="N6" s="147">
        <v>1.0</v>
      </c>
      <c r="O6" s="151">
        <f t="shared" si="1"/>
        <v>2</v>
      </c>
    </row>
    <row r="7">
      <c r="A7" s="147">
        <v>5.0</v>
      </c>
      <c r="B7" s="148" t="s">
        <v>851</v>
      </c>
      <c r="C7" s="148" t="s">
        <v>852</v>
      </c>
      <c r="D7" s="148" t="s">
        <v>640</v>
      </c>
      <c r="E7" s="149" t="s">
        <v>847</v>
      </c>
      <c r="F7" s="148" t="s">
        <v>641</v>
      </c>
      <c r="G7" s="147">
        <v>5.0</v>
      </c>
      <c r="H7" s="150">
        <v>16992.0</v>
      </c>
      <c r="I7" s="147">
        <v>1.0</v>
      </c>
      <c r="J7" s="150">
        <v>16991.0</v>
      </c>
      <c r="K7" s="147">
        <v>9.31</v>
      </c>
      <c r="L7" s="150">
        <v>16990.0</v>
      </c>
      <c r="M7" s="147">
        <v>0.0</v>
      </c>
      <c r="N7" s="147">
        <v>1.0</v>
      </c>
      <c r="O7" s="151">
        <f t="shared" si="1"/>
        <v>2</v>
      </c>
    </row>
    <row r="8">
      <c r="A8" s="147">
        <v>6.0</v>
      </c>
      <c r="B8" s="148" t="s">
        <v>853</v>
      </c>
      <c r="C8" s="148" t="s">
        <v>854</v>
      </c>
      <c r="D8" s="148" t="s">
        <v>127</v>
      </c>
      <c r="E8" s="149" t="s">
        <v>847</v>
      </c>
      <c r="F8" s="148" t="s">
        <v>126</v>
      </c>
      <c r="G8" s="147">
        <v>5.0</v>
      </c>
      <c r="H8" s="150">
        <v>16992.0</v>
      </c>
      <c r="I8" s="147">
        <v>1.0</v>
      </c>
      <c r="J8" s="150">
        <v>16991.0</v>
      </c>
      <c r="K8" s="147">
        <v>9.31</v>
      </c>
      <c r="L8" s="150">
        <v>16990.0</v>
      </c>
      <c r="M8" s="147">
        <v>0.0</v>
      </c>
      <c r="N8" s="147">
        <v>1.0</v>
      </c>
      <c r="O8" s="151">
        <f t="shared" si="1"/>
        <v>2</v>
      </c>
    </row>
    <row r="9">
      <c r="A9" s="147">
        <v>7.0</v>
      </c>
      <c r="B9" s="148" t="s">
        <v>855</v>
      </c>
      <c r="C9" s="148" t="s">
        <v>856</v>
      </c>
      <c r="D9" s="148" t="s">
        <v>857</v>
      </c>
      <c r="E9" s="149" t="s">
        <v>847</v>
      </c>
      <c r="F9" s="148" t="s">
        <v>858</v>
      </c>
      <c r="G9" s="147">
        <v>5.0</v>
      </c>
      <c r="H9" s="150">
        <v>16992.0</v>
      </c>
      <c r="I9" s="147">
        <v>1.0</v>
      </c>
      <c r="J9" s="150">
        <v>16991.0</v>
      </c>
      <c r="K9" s="147">
        <v>9.31</v>
      </c>
      <c r="L9" s="150">
        <v>16990.0</v>
      </c>
      <c r="M9" s="147">
        <v>0.0</v>
      </c>
      <c r="N9" s="147">
        <v>1.0</v>
      </c>
      <c r="O9" s="151">
        <f t="shared" si="1"/>
        <v>2</v>
      </c>
    </row>
    <row r="10">
      <c r="A10" s="147">
        <v>8.0</v>
      </c>
      <c r="B10" s="148" t="s">
        <v>859</v>
      </c>
      <c r="C10" s="148" t="s">
        <v>860</v>
      </c>
      <c r="D10" s="148" t="s">
        <v>165</v>
      </c>
      <c r="E10" s="149" t="s">
        <v>847</v>
      </c>
      <c r="F10" s="148" t="s">
        <v>638</v>
      </c>
      <c r="G10" s="147">
        <v>5.0</v>
      </c>
      <c r="H10" s="150">
        <v>16992.0</v>
      </c>
      <c r="I10" s="147">
        <v>1.0</v>
      </c>
      <c r="J10" s="150">
        <v>16991.0</v>
      </c>
      <c r="K10" s="147">
        <v>9.31</v>
      </c>
      <c r="L10" s="150">
        <v>16990.0</v>
      </c>
      <c r="M10" s="147">
        <v>0.0</v>
      </c>
      <c r="N10" s="147">
        <v>1.0</v>
      </c>
      <c r="O10" s="151">
        <f t="shared" si="1"/>
        <v>2</v>
      </c>
    </row>
    <row r="11">
      <c r="A11" s="147">
        <v>9.0</v>
      </c>
      <c r="B11" s="148" t="s">
        <v>861</v>
      </c>
      <c r="C11" s="148" t="s">
        <v>862</v>
      </c>
      <c r="D11" s="148" t="s">
        <v>566</v>
      </c>
      <c r="E11" s="152">
        <v>43713.0</v>
      </c>
      <c r="F11" s="148" t="s">
        <v>567</v>
      </c>
      <c r="G11" s="147">
        <v>5.0</v>
      </c>
      <c r="H11" s="150">
        <v>16498.0</v>
      </c>
      <c r="I11" s="147">
        <v>1.0</v>
      </c>
      <c r="J11" s="150">
        <v>16497.0</v>
      </c>
      <c r="K11" s="147">
        <v>9.04</v>
      </c>
      <c r="L11" s="150">
        <v>15630.8</v>
      </c>
      <c r="M11" s="147">
        <v>865.2</v>
      </c>
      <c r="N11" s="147">
        <v>1.0</v>
      </c>
      <c r="O11" s="151">
        <f t="shared" si="1"/>
        <v>2</v>
      </c>
    </row>
    <row r="12">
      <c r="A12" s="147">
        <v>10.0</v>
      </c>
      <c r="B12" s="148" t="s">
        <v>863</v>
      </c>
      <c r="C12" s="148" t="s">
        <v>864</v>
      </c>
      <c r="D12" s="148" t="s">
        <v>297</v>
      </c>
      <c r="E12" s="152">
        <v>43717.0</v>
      </c>
      <c r="F12" s="148" t="s">
        <v>665</v>
      </c>
      <c r="G12" s="147">
        <v>5.0</v>
      </c>
      <c r="H12" s="150">
        <v>16498.0</v>
      </c>
      <c r="I12" s="147">
        <v>1.0</v>
      </c>
      <c r="J12" s="150">
        <v>16497.0</v>
      </c>
      <c r="K12" s="147">
        <v>9.04</v>
      </c>
      <c r="L12" s="150">
        <v>15576.6</v>
      </c>
      <c r="M12" s="147">
        <v>919.4</v>
      </c>
      <c r="N12" s="147">
        <v>1.0</v>
      </c>
      <c r="O12" s="151">
        <f t="shared" si="1"/>
        <v>2</v>
      </c>
    </row>
    <row r="13">
      <c r="A13" s="147">
        <v>11.0</v>
      </c>
      <c r="B13" s="148" t="s">
        <v>865</v>
      </c>
      <c r="C13" s="148" t="s">
        <v>866</v>
      </c>
      <c r="D13" s="148" t="s">
        <v>547</v>
      </c>
      <c r="E13" s="152">
        <v>43718.0</v>
      </c>
      <c r="F13" s="148" t="s">
        <v>548</v>
      </c>
      <c r="G13" s="147">
        <v>5.0</v>
      </c>
      <c r="H13" s="150">
        <v>16498.0</v>
      </c>
      <c r="I13" s="147">
        <v>1.0</v>
      </c>
      <c r="J13" s="150">
        <v>16497.0</v>
      </c>
      <c r="K13" s="147">
        <v>9.04</v>
      </c>
      <c r="L13" s="150">
        <v>15563.06</v>
      </c>
      <c r="M13" s="147">
        <v>932.94</v>
      </c>
      <c r="N13" s="147">
        <v>1.0</v>
      </c>
      <c r="O13" s="151">
        <f t="shared" si="1"/>
        <v>2</v>
      </c>
    </row>
    <row r="14">
      <c r="A14" s="147">
        <v>12.0</v>
      </c>
      <c r="B14" s="148" t="s">
        <v>867</v>
      </c>
      <c r="C14" s="148" t="s">
        <v>868</v>
      </c>
      <c r="D14" s="148" t="s">
        <v>478</v>
      </c>
      <c r="E14" s="152">
        <v>43808.0</v>
      </c>
      <c r="F14" s="148" t="s">
        <v>661</v>
      </c>
      <c r="G14" s="147">
        <v>5.0</v>
      </c>
      <c r="H14" s="150">
        <v>16498.0</v>
      </c>
      <c r="I14" s="147">
        <v>1.0</v>
      </c>
      <c r="J14" s="150">
        <v>16497.0</v>
      </c>
      <c r="K14" s="147">
        <v>9.04</v>
      </c>
      <c r="L14" s="150">
        <v>15535.96</v>
      </c>
      <c r="M14" s="147">
        <v>960.04</v>
      </c>
      <c r="N14" s="147">
        <v>1.0</v>
      </c>
      <c r="O14" s="151">
        <f t="shared" si="1"/>
        <v>2</v>
      </c>
    </row>
    <row r="15">
      <c r="A15" s="147">
        <v>13.0</v>
      </c>
      <c r="B15" s="148" t="s">
        <v>869</v>
      </c>
      <c r="C15" s="148" t="s">
        <v>870</v>
      </c>
      <c r="D15" s="148" t="s">
        <v>570</v>
      </c>
      <c r="E15" s="149" t="s">
        <v>871</v>
      </c>
      <c r="F15" s="148" t="s">
        <v>571</v>
      </c>
      <c r="G15" s="147">
        <v>5.0</v>
      </c>
      <c r="H15" s="150">
        <v>16498.0</v>
      </c>
      <c r="I15" s="147">
        <v>1.0</v>
      </c>
      <c r="J15" s="150">
        <v>16497.0</v>
      </c>
      <c r="K15" s="147">
        <v>9.04</v>
      </c>
      <c r="L15" s="150">
        <v>15508.86</v>
      </c>
      <c r="M15" s="147">
        <v>987.14</v>
      </c>
      <c r="N15" s="147">
        <v>1.0</v>
      </c>
      <c r="O15" s="151">
        <f t="shared" si="1"/>
        <v>2</v>
      </c>
    </row>
    <row r="16">
      <c r="A16" s="147">
        <v>14.0</v>
      </c>
      <c r="B16" s="148" t="s">
        <v>872</v>
      </c>
      <c r="C16" s="148" t="s">
        <v>873</v>
      </c>
      <c r="D16" s="148" t="s">
        <v>312</v>
      </c>
      <c r="E16" s="149" t="s">
        <v>874</v>
      </c>
      <c r="F16" s="148" t="s">
        <v>715</v>
      </c>
      <c r="G16" s="147">
        <v>5.0</v>
      </c>
      <c r="H16" s="150">
        <v>16498.0</v>
      </c>
      <c r="I16" s="147">
        <v>1.0</v>
      </c>
      <c r="J16" s="150">
        <v>16497.0</v>
      </c>
      <c r="K16" s="147">
        <v>9.04</v>
      </c>
      <c r="L16" s="150">
        <v>15061.78</v>
      </c>
      <c r="M16" s="150">
        <v>1434.22</v>
      </c>
      <c r="N16" s="147">
        <v>1.0</v>
      </c>
      <c r="O16" s="151">
        <f t="shared" si="1"/>
        <v>2</v>
      </c>
    </row>
    <row r="17">
      <c r="A17" s="147">
        <v>15.0</v>
      </c>
      <c r="B17" s="148" t="s">
        <v>875</v>
      </c>
      <c r="C17" s="148" t="s">
        <v>876</v>
      </c>
      <c r="D17" s="148" t="s">
        <v>307</v>
      </c>
      <c r="E17" s="149" t="s">
        <v>877</v>
      </c>
      <c r="F17" s="148" t="s">
        <v>593</v>
      </c>
      <c r="G17" s="147">
        <v>5.0</v>
      </c>
      <c r="H17" s="150">
        <v>16498.0</v>
      </c>
      <c r="I17" s="147">
        <v>1.0</v>
      </c>
      <c r="J17" s="150">
        <v>16497.0</v>
      </c>
      <c r="K17" s="147">
        <v>9.04</v>
      </c>
      <c r="L17" s="150">
        <v>15034.7</v>
      </c>
      <c r="M17" s="150">
        <v>1461.3</v>
      </c>
      <c r="N17" s="147">
        <v>1.0</v>
      </c>
      <c r="O17" s="151">
        <f t="shared" si="1"/>
        <v>2</v>
      </c>
    </row>
    <row r="18">
      <c r="A18" s="147">
        <v>16.0</v>
      </c>
      <c r="B18" s="148" t="s">
        <v>878</v>
      </c>
      <c r="C18" s="148" t="s">
        <v>879</v>
      </c>
      <c r="D18" s="148" t="s">
        <v>605</v>
      </c>
      <c r="E18" s="149" t="s">
        <v>877</v>
      </c>
      <c r="F18" s="148" t="s">
        <v>606</v>
      </c>
      <c r="G18" s="147">
        <v>5.0</v>
      </c>
      <c r="H18" s="150">
        <v>16498.0</v>
      </c>
      <c r="I18" s="147">
        <v>1.0</v>
      </c>
      <c r="J18" s="150">
        <v>16497.0</v>
      </c>
      <c r="K18" s="147">
        <v>9.04</v>
      </c>
      <c r="L18" s="150">
        <v>15034.7</v>
      </c>
      <c r="M18" s="150">
        <v>1461.3</v>
      </c>
      <c r="N18" s="147">
        <v>1.0</v>
      </c>
      <c r="O18" s="151">
        <f t="shared" si="1"/>
        <v>2</v>
      </c>
    </row>
    <row r="19">
      <c r="A19" s="147">
        <v>17.0</v>
      </c>
      <c r="B19" s="148" t="s">
        <v>880</v>
      </c>
      <c r="C19" s="148" t="s">
        <v>881</v>
      </c>
      <c r="D19" s="148" t="s">
        <v>559</v>
      </c>
      <c r="E19" s="149" t="s">
        <v>882</v>
      </c>
      <c r="F19" s="148" t="s">
        <v>560</v>
      </c>
      <c r="G19" s="147">
        <v>5.0</v>
      </c>
      <c r="H19" s="150">
        <v>16498.0</v>
      </c>
      <c r="I19" s="147">
        <v>1.0</v>
      </c>
      <c r="J19" s="150">
        <v>16497.0</v>
      </c>
      <c r="K19" s="147">
        <v>9.04</v>
      </c>
      <c r="L19" s="150">
        <v>15021.14</v>
      </c>
      <c r="M19" s="150">
        <v>1474.86</v>
      </c>
      <c r="N19" s="147">
        <v>1.0</v>
      </c>
      <c r="O19" s="151">
        <f t="shared" si="1"/>
        <v>2</v>
      </c>
    </row>
    <row r="20">
      <c r="A20" s="147">
        <v>18.0</v>
      </c>
      <c r="B20" s="148" t="s">
        <v>883</v>
      </c>
      <c r="C20" s="148" t="s">
        <v>884</v>
      </c>
      <c r="D20" s="148" t="s">
        <v>582</v>
      </c>
      <c r="E20" s="149" t="s">
        <v>882</v>
      </c>
      <c r="F20" s="148" t="s">
        <v>583</v>
      </c>
      <c r="G20" s="147">
        <v>5.0</v>
      </c>
      <c r="H20" s="150">
        <v>16498.0</v>
      </c>
      <c r="I20" s="147">
        <v>1.0</v>
      </c>
      <c r="J20" s="150">
        <v>16497.0</v>
      </c>
      <c r="K20" s="147">
        <v>9.04</v>
      </c>
      <c r="L20" s="150">
        <v>15021.14</v>
      </c>
      <c r="M20" s="150">
        <v>1474.86</v>
      </c>
      <c r="N20" s="147">
        <v>1.0</v>
      </c>
      <c r="O20" s="151">
        <f t="shared" si="1"/>
        <v>2</v>
      </c>
    </row>
    <row r="21">
      <c r="A21" s="147">
        <v>19.0</v>
      </c>
      <c r="B21" s="148" t="s">
        <v>885</v>
      </c>
      <c r="C21" s="148" t="s">
        <v>886</v>
      </c>
      <c r="D21" s="148" t="s">
        <v>589</v>
      </c>
      <c r="E21" s="149" t="s">
        <v>882</v>
      </c>
      <c r="F21" s="148" t="s">
        <v>590</v>
      </c>
      <c r="G21" s="147">
        <v>5.0</v>
      </c>
      <c r="H21" s="150">
        <v>16498.0</v>
      </c>
      <c r="I21" s="147">
        <v>1.0</v>
      </c>
      <c r="J21" s="150">
        <v>16497.0</v>
      </c>
      <c r="K21" s="147">
        <v>9.04</v>
      </c>
      <c r="L21" s="150">
        <v>15021.14</v>
      </c>
      <c r="M21" s="150">
        <v>1474.86</v>
      </c>
      <c r="N21" s="147">
        <v>1.0</v>
      </c>
      <c r="O21" s="151">
        <f t="shared" si="1"/>
        <v>2</v>
      </c>
    </row>
    <row r="22">
      <c r="A22" s="147">
        <v>20.0</v>
      </c>
      <c r="B22" s="148" t="s">
        <v>887</v>
      </c>
      <c r="C22" s="148" t="s">
        <v>888</v>
      </c>
      <c r="D22" s="148" t="s">
        <v>597</v>
      </c>
      <c r="E22" s="149" t="s">
        <v>882</v>
      </c>
      <c r="F22" s="148" t="s">
        <v>598</v>
      </c>
      <c r="G22" s="147">
        <v>5.0</v>
      </c>
      <c r="H22" s="150">
        <v>16498.0</v>
      </c>
      <c r="I22" s="147">
        <v>1.0</v>
      </c>
      <c r="J22" s="150">
        <v>16497.0</v>
      </c>
      <c r="K22" s="147">
        <v>9.04</v>
      </c>
      <c r="L22" s="150">
        <v>15021.14</v>
      </c>
      <c r="M22" s="150">
        <v>1474.86</v>
      </c>
      <c r="N22" s="147">
        <v>1.0</v>
      </c>
      <c r="O22" s="151">
        <f t="shared" si="1"/>
        <v>2</v>
      </c>
    </row>
    <row r="23">
      <c r="A23" s="147">
        <v>21.0</v>
      </c>
      <c r="B23" s="148" t="s">
        <v>889</v>
      </c>
      <c r="C23" s="148" t="s">
        <v>890</v>
      </c>
      <c r="D23" s="148" t="s">
        <v>305</v>
      </c>
      <c r="E23" s="149" t="s">
        <v>882</v>
      </c>
      <c r="F23" s="148" t="s">
        <v>587</v>
      </c>
      <c r="G23" s="147">
        <v>5.0</v>
      </c>
      <c r="H23" s="150">
        <v>16498.0</v>
      </c>
      <c r="I23" s="147">
        <v>1.0</v>
      </c>
      <c r="J23" s="150">
        <v>16497.0</v>
      </c>
      <c r="K23" s="147">
        <v>9.04</v>
      </c>
      <c r="L23" s="150">
        <v>15021.14</v>
      </c>
      <c r="M23" s="150">
        <v>1474.86</v>
      </c>
      <c r="N23" s="147">
        <v>1.0</v>
      </c>
      <c r="O23" s="151">
        <f t="shared" si="1"/>
        <v>2</v>
      </c>
    </row>
    <row r="24">
      <c r="A24" s="147">
        <v>22.0</v>
      </c>
      <c r="B24" s="148" t="s">
        <v>891</v>
      </c>
      <c r="C24" s="148" t="s">
        <v>892</v>
      </c>
      <c r="D24" s="148" t="s">
        <v>224</v>
      </c>
      <c r="E24" s="149" t="s">
        <v>893</v>
      </c>
      <c r="F24" s="148" t="s">
        <v>422</v>
      </c>
      <c r="G24" s="147">
        <v>5.0</v>
      </c>
      <c r="H24" s="150">
        <v>16498.0</v>
      </c>
      <c r="I24" s="147">
        <v>1.0</v>
      </c>
      <c r="J24" s="150">
        <v>16497.0</v>
      </c>
      <c r="K24" s="147">
        <v>9.04</v>
      </c>
      <c r="L24" s="150">
        <v>14506.32</v>
      </c>
      <c r="M24" s="150">
        <v>1636.24</v>
      </c>
      <c r="N24" s="147">
        <v>354.44</v>
      </c>
      <c r="O24" s="151">
        <f t="shared" si="1"/>
        <v>355.44</v>
      </c>
    </row>
    <row r="25">
      <c r="A25" s="147">
        <v>23.0</v>
      </c>
      <c r="B25" s="148" t="s">
        <v>894</v>
      </c>
      <c r="C25" s="148" t="s">
        <v>895</v>
      </c>
      <c r="D25" s="148" t="s">
        <v>478</v>
      </c>
      <c r="E25" s="152">
        <v>43505.0</v>
      </c>
      <c r="F25" s="148" t="s">
        <v>548</v>
      </c>
      <c r="G25" s="147">
        <v>5.0</v>
      </c>
      <c r="H25" s="150">
        <v>50976.0</v>
      </c>
      <c r="I25" s="147">
        <v>1.0</v>
      </c>
      <c r="J25" s="150">
        <v>50975.0</v>
      </c>
      <c r="K25" s="147">
        <v>27.93</v>
      </c>
      <c r="L25" s="150">
        <v>48421.96</v>
      </c>
      <c r="M25" s="150">
        <v>2552.04</v>
      </c>
      <c r="N25" s="147">
        <v>1.0</v>
      </c>
      <c r="O25" s="151">
        <f t="shared" si="1"/>
        <v>2</v>
      </c>
    </row>
    <row r="26">
      <c r="A26" s="147">
        <v>24.0</v>
      </c>
      <c r="B26" s="148" t="s">
        <v>896</v>
      </c>
      <c r="C26" s="148" t="s">
        <v>897</v>
      </c>
      <c r="D26" s="148" t="s">
        <v>226</v>
      </c>
      <c r="E26" s="149" t="s">
        <v>898</v>
      </c>
      <c r="F26" s="148" t="s">
        <v>387</v>
      </c>
      <c r="G26" s="147">
        <v>5.0</v>
      </c>
      <c r="H26" s="150">
        <v>16992.0</v>
      </c>
      <c r="I26" s="147">
        <v>1.0</v>
      </c>
      <c r="J26" s="150">
        <v>16991.0</v>
      </c>
      <c r="K26" s="147">
        <v>9.31</v>
      </c>
      <c r="L26" s="150">
        <v>14968.34</v>
      </c>
      <c r="M26" s="150">
        <v>1685.11</v>
      </c>
      <c r="N26" s="147">
        <v>337.55</v>
      </c>
      <c r="O26" s="151">
        <f t="shared" si="1"/>
        <v>338.55</v>
      </c>
    </row>
    <row r="27">
      <c r="A27" s="147">
        <v>25.0</v>
      </c>
      <c r="B27" s="148" t="s">
        <v>899</v>
      </c>
      <c r="C27" s="148" t="s">
        <v>900</v>
      </c>
      <c r="D27" s="148" t="s">
        <v>215</v>
      </c>
      <c r="E27" s="149" t="s">
        <v>901</v>
      </c>
      <c r="F27" s="148" t="s">
        <v>214</v>
      </c>
      <c r="G27" s="147">
        <v>5.0</v>
      </c>
      <c r="H27" s="150">
        <v>16992.0</v>
      </c>
      <c r="I27" s="147">
        <v>1.0</v>
      </c>
      <c r="J27" s="150">
        <v>16991.0</v>
      </c>
      <c r="K27" s="147">
        <v>9.31</v>
      </c>
      <c r="L27" s="150">
        <v>14954.4</v>
      </c>
      <c r="M27" s="150">
        <v>1685.11</v>
      </c>
      <c r="N27" s="147">
        <v>351.49</v>
      </c>
      <c r="O27" s="151">
        <f t="shared" si="1"/>
        <v>352.49</v>
      </c>
    </row>
    <row r="28">
      <c r="A28" s="147">
        <v>26.0</v>
      </c>
      <c r="B28" s="148" t="s">
        <v>902</v>
      </c>
      <c r="C28" s="148" t="s">
        <v>903</v>
      </c>
      <c r="D28" s="148" t="s">
        <v>249</v>
      </c>
      <c r="E28" s="149" t="s">
        <v>904</v>
      </c>
      <c r="F28" s="148" t="s">
        <v>498</v>
      </c>
      <c r="G28" s="147">
        <v>5.0</v>
      </c>
      <c r="H28" s="150">
        <v>50976.0</v>
      </c>
      <c r="I28" s="147">
        <v>1.0</v>
      </c>
      <c r="J28" s="150">
        <v>50975.0</v>
      </c>
      <c r="K28" s="147">
        <v>27.93</v>
      </c>
      <c r="L28" s="150">
        <v>42979.5</v>
      </c>
      <c r="M28" s="150">
        <v>5055.33</v>
      </c>
      <c r="N28" s="150">
        <v>2940.17</v>
      </c>
      <c r="O28" s="151">
        <f t="shared" si="1"/>
        <v>2941.17</v>
      </c>
    </row>
    <row r="29">
      <c r="A29" s="147">
        <v>27.0</v>
      </c>
      <c r="B29" s="148" t="s">
        <v>905</v>
      </c>
      <c r="C29" s="148" t="s">
        <v>906</v>
      </c>
      <c r="D29" s="148" t="s">
        <v>534</v>
      </c>
      <c r="E29" s="149" t="s">
        <v>907</v>
      </c>
      <c r="F29" s="148" t="s">
        <v>535</v>
      </c>
      <c r="G29" s="147">
        <v>5.0</v>
      </c>
      <c r="H29" s="150">
        <v>19950.0</v>
      </c>
      <c r="I29" s="147">
        <v>1.0</v>
      </c>
      <c r="J29" s="150">
        <v>19949.0</v>
      </c>
      <c r="K29" s="147">
        <v>10.93</v>
      </c>
      <c r="L29" s="150">
        <v>16861.1</v>
      </c>
      <c r="M29" s="150">
        <v>1978.33</v>
      </c>
      <c r="N29" s="150">
        <v>1109.57</v>
      </c>
      <c r="O29" s="151">
        <f t="shared" si="1"/>
        <v>1110.57</v>
      </c>
    </row>
    <row r="30">
      <c r="A30" s="147">
        <v>28.0</v>
      </c>
      <c r="B30" s="148" t="s">
        <v>908</v>
      </c>
      <c r="C30" s="148" t="s">
        <v>909</v>
      </c>
      <c r="D30" s="148" t="s">
        <v>256</v>
      </c>
      <c r="E30" s="149" t="s">
        <v>910</v>
      </c>
      <c r="F30" s="148" t="s">
        <v>911</v>
      </c>
      <c r="G30" s="147">
        <v>5.0</v>
      </c>
      <c r="H30" s="150">
        <v>19950.0</v>
      </c>
      <c r="I30" s="147">
        <v>1.0</v>
      </c>
      <c r="J30" s="150">
        <v>19949.0</v>
      </c>
      <c r="K30" s="147">
        <v>10.93</v>
      </c>
      <c r="L30" s="150">
        <v>16844.7</v>
      </c>
      <c r="M30" s="150">
        <v>1978.33</v>
      </c>
      <c r="N30" s="150">
        <v>1125.97</v>
      </c>
      <c r="O30" s="151">
        <f t="shared" si="1"/>
        <v>1126.97</v>
      </c>
    </row>
    <row r="31">
      <c r="A31" s="147">
        <v>29.0</v>
      </c>
      <c r="B31" s="148" t="s">
        <v>912</v>
      </c>
      <c r="C31" s="148" t="s">
        <v>913</v>
      </c>
      <c r="D31" s="148" t="s">
        <v>526</v>
      </c>
      <c r="E31" s="149" t="s">
        <v>914</v>
      </c>
      <c r="F31" s="148" t="s">
        <v>527</v>
      </c>
      <c r="G31" s="147">
        <v>5.0</v>
      </c>
      <c r="H31" s="150">
        <v>19950.0</v>
      </c>
      <c r="I31" s="147">
        <v>1.0</v>
      </c>
      <c r="J31" s="150">
        <v>19949.0</v>
      </c>
      <c r="K31" s="147">
        <v>10.93</v>
      </c>
      <c r="L31" s="150">
        <v>16836.5</v>
      </c>
      <c r="M31" s="150">
        <v>1978.33</v>
      </c>
      <c r="N31" s="150">
        <v>1134.17</v>
      </c>
      <c r="O31" s="151">
        <f t="shared" si="1"/>
        <v>1135.17</v>
      </c>
    </row>
    <row r="32">
      <c r="A32" s="147">
        <v>30.0</v>
      </c>
      <c r="B32" s="148" t="s">
        <v>915</v>
      </c>
      <c r="C32" s="148" t="s">
        <v>916</v>
      </c>
      <c r="D32" s="148" t="s">
        <v>520</v>
      </c>
      <c r="E32" s="149" t="s">
        <v>917</v>
      </c>
      <c r="F32" s="148" t="s">
        <v>521</v>
      </c>
      <c r="G32" s="147">
        <v>5.0</v>
      </c>
      <c r="H32" s="150">
        <v>19950.0</v>
      </c>
      <c r="I32" s="147">
        <v>1.0</v>
      </c>
      <c r="J32" s="150">
        <v>19949.0</v>
      </c>
      <c r="K32" s="147">
        <v>10.93</v>
      </c>
      <c r="L32" s="150">
        <v>16787.31</v>
      </c>
      <c r="M32" s="150">
        <v>1978.33</v>
      </c>
      <c r="N32" s="150">
        <v>1183.36</v>
      </c>
      <c r="O32" s="151">
        <f t="shared" si="1"/>
        <v>1184.36</v>
      </c>
    </row>
    <row r="33">
      <c r="A33" s="147">
        <v>31.0</v>
      </c>
      <c r="B33" s="148" t="s">
        <v>918</v>
      </c>
      <c r="C33" s="148" t="s">
        <v>919</v>
      </c>
      <c r="D33" s="148" t="s">
        <v>258</v>
      </c>
      <c r="E33" s="149" t="s">
        <v>920</v>
      </c>
      <c r="F33" s="148" t="s">
        <v>921</v>
      </c>
      <c r="G33" s="147">
        <v>5.0</v>
      </c>
      <c r="H33" s="150">
        <v>19950.0</v>
      </c>
      <c r="I33" s="147">
        <v>1.0</v>
      </c>
      <c r="J33" s="150">
        <v>19949.0</v>
      </c>
      <c r="K33" s="147">
        <v>10.93</v>
      </c>
      <c r="L33" s="150">
        <v>16779.11</v>
      </c>
      <c r="M33" s="150">
        <v>1978.33</v>
      </c>
      <c r="N33" s="150">
        <v>1191.56</v>
      </c>
      <c r="O33" s="151">
        <f t="shared" si="1"/>
        <v>1192.56</v>
      </c>
    </row>
    <row r="34">
      <c r="A34" s="147">
        <v>32.0</v>
      </c>
      <c r="B34" s="148" t="s">
        <v>922</v>
      </c>
      <c r="C34" s="148" t="s">
        <v>923</v>
      </c>
      <c r="D34" s="148" t="s">
        <v>515</v>
      </c>
      <c r="E34" s="149" t="s">
        <v>924</v>
      </c>
      <c r="F34" s="148" t="s">
        <v>516</v>
      </c>
      <c r="G34" s="147">
        <v>5.0</v>
      </c>
      <c r="H34" s="150">
        <v>19950.0</v>
      </c>
      <c r="I34" s="147">
        <v>1.0</v>
      </c>
      <c r="J34" s="150">
        <v>19949.0</v>
      </c>
      <c r="K34" s="147">
        <v>10.93</v>
      </c>
      <c r="L34" s="150">
        <v>16770.91</v>
      </c>
      <c r="M34" s="150">
        <v>1978.33</v>
      </c>
      <c r="N34" s="150">
        <v>1199.76</v>
      </c>
      <c r="O34" s="151">
        <f t="shared" si="1"/>
        <v>1200.76</v>
      </c>
    </row>
    <row r="35">
      <c r="A35" s="147">
        <v>33.0</v>
      </c>
      <c r="B35" s="148" t="s">
        <v>925</v>
      </c>
      <c r="C35" s="148" t="s">
        <v>926</v>
      </c>
      <c r="D35" s="148" t="s">
        <v>510</v>
      </c>
      <c r="E35" s="149" t="s">
        <v>927</v>
      </c>
      <c r="F35" s="148" t="s">
        <v>511</v>
      </c>
      <c r="G35" s="147">
        <v>5.0</v>
      </c>
      <c r="H35" s="150">
        <v>19950.0</v>
      </c>
      <c r="I35" s="147">
        <v>1.0</v>
      </c>
      <c r="J35" s="150">
        <v>19949.0</v>
      </c>
      <c r="K35" s="147">
        <v>10.93</v>
      </c>
      <c r="L35" s="150">
        <v>16762.71</v>
      </c>
      <c r="M35" s="150">
        <v>1978.33</v>
      </c>
      <c r="N35" s="150">
        <v>1207.96</v>
      </c>
      <c r="O35" s="151">
        <f t="shared" si="1"/>
        <v>1208.96</v>
      </c>
    </row>
    <row r="36">
      <c r="A36" s="147">
        <v>34.0</v>
      </c>
      <c r="B36" s="148" t="s">
        <v>928</v>
      </c>
      <c r="C36" s="148" t="s">
        <v>929</v>
      </c>
      <c r="D36" s="148" t="s">
        <v>510</v>
      </c>
      <c r="E36" s="152">
        <v>43894.0</v>
      </c>
      <c r="F36" s="148" t="s">
        <v>511</v>
      </c>
      <c r="G36" s="147">
        <v>5.0</v>
      </c>
      <c r="H36" s="150">
        <v>19950.0</v>
      </c>
      <c r="I36" s="147">
        <v>1.0</v>
      </c>
      <c r="J36" s="150">
        <v>19949.0</v>
      </c>
      <c r="K36" s="147">
        <v>10.93</v>
      </c>
      <c r="L36" s="150">
        <v>16213.41</v>
      </c>
      <c r="M36" s="150">
        <v>1978.33</v>
      </c>
      <c r="N36" s="150">
        <v>1757.26</v>
      </c>
      <c r="O36" s="151">
        <f t="shared" si="1"/>
        <v>1758.26</v>
      </c>
    </row>
    <row r="37">
      <c r="A37" s="147">
        <v>35.0</v>
      </c>
      <c r="B37" s="148" t="s">
        <v>930</v>
      </c>
      <c r="C37" s="148" t="s">
        <v>931</v>
      </c>
      <c r="D37" s="148" t="s">
        <v>258</v>
      </c>
      <c r="E37" s="152">
        <v>36710.0</v>
      </c>
      <c r="F37" s="148" t="s">
        <v>921</v>
      </c>
      <c r="G37" s="147">
        <v>5.0</v>
      </c>
      <c r="H37" s="150">
        <v>19950.0</v>
      </c>
      <c r="I37" s="147">
        <v>1.0</v>
      </c>
      <c r="J37" s="150">
        <v>19949.0</v>
      </c>
      <c r="K37" s="147">
        <v>10.93</v>
      </c>
      <c r="L37" s="150">
        <v>16180.61</v>
      </c>
      <c r="M37" s="150">
        <v>1978.33</v>
      </c>
      <c r="N37" s="150">
        <v>1790.06</v>
      </c>
      <c r="O37" s="151">
        <f t="shared" si="1"/>
        <v>1791.06</v>
      </c>
    </row>
    <row r="38">
      <c r="A38" s="147">
        <v>36.0</v>
      </c>
      <c r="B38" s="148" t="s">
        <v>932</v>
      </c>
      <c r="C38" s="148" t="s">
        <v>933</v>
      </c>
      <c r="D38" s="148" t="s">
        <v>632</v>
      </c>
      <c r="E38" s="149" t="s">
        <v>934</v>
      </c>
      <c r="F38" s="148" t="s">
        <v>633</v>
      </c>
      <c r="G38" s="147">
        <v>5.0</v>
      </c>
      <c r="H38" s="150">
        <v>19950.0</v>
      </c>
      <c r="I38" s="147">
        <v>1.0</v>
      </c>
      <c r="J38" s="150">
        <v>19949.0</v>
      </c>
      <c r="K38" s="147">
        <v>10.93</v>
      </c>
      <c r="L38" s="150">
        <v>16057.63</v>
      </c>
      <c r="M38" s="150">
        <v>1978.33</v>
      </c>
      <c r="N38" s="150">
        <v>1913.04</v>
      </c>
      <c r="O38" s="151">
        <f t="shared" si="1"/>
        <v>1914.04</v>
      </c>
    </row>
    <row r="39">
      <c r="A39" s="147">
        <v>37.0</v>
      </c>
      <c r="B39" s="148" t="s">
        <v>935</v>
      </c>
      <c r="C39" s="148" t="s">
        <v>936</v>
      </c>
      <c r="D39" s="148" t="s">
        <v>538</v>
      </c>
      <c r="E39" s="152">
        <v>43835.0</v>
      </c>
      <c r="F39" s="148" t="s">
        <v>539</v>
      </c>
      <c r="G39" s="147">
        <v>5.0</v>
      </c>
      <c r="H39" s="150">
        <v>19950.0</v>
      </c>
      <c r="I39" s="147">
        <v>1.0</v>
      </c>
      <c r="J39" s="150">
        <v>19949.0</v>
      </c>
      <c r="K39" s="147">
        <v>10.93</v>
      </c>
      <c r="L39" s="150">
        <v>15983.84</v>
      </c>
      <c r="M39" s="150">
        <v>1978.33</v>
      </c>
      <c r="N39" s="150">
        <v>1986.83</v>
      </c>
      <c r="O39" s="151">
        <f t="shared" si="1"/>
        <v>1987.83</v>
      </c>
    </row>
    <row r="40">
      <c r="A40" s="147">
        <v>38.0</v>
      </c>
      <c r="B40" s="148" t="s">
        <v>937</v>
      </c>
      <c r="C40" s="148" t="s">
        <v>938</v>
      </c>
      <c r="D40" s="148" t="s">
        <v>478</v>
      </c>
      <c r="E40" s="149" t="s">
        <v>939</v>
      </c>
      <c r="F40" s="148" t="s">
        <v>548</v>
      </c>
      <c r="G40" s="147">
        <v>5.0</v>
      </c>
      <c r="H40" s="150">
        <v>19950.0</v>
      </c>
      <c r="I40" s="147">
        <v>1.0</v>
      </c>
      <c r="J40" s="150">
        <v>19949.0</v>
      </c>
      <c r="K40" s="147">
        <v>10.93</v>
      </c>
      <c r="L40" s="150">
        <v>15992.04</v>
      </c>
      <c r="M40" s="150">
        <v>1978.33</v>
      </c>
      <c r="N40" s="150">
        <v>1978.63</v>
      </c>
      <c r="O40" s="151">
        <f t="shared" si="1"/>
        <v>1979.63</v>
      </c>
    </row>
    <row r="41">
      <c r="A41" s="147">
        <v>39.0</v>
      </c>
      <c r="B41" s="148" t="s">
        <v>940</v>
      </c>
      <c r="C41" s="148" t="s">
        <v>941</v>
      </c>
      <c r="D41" s="148" t="s">
        <v>579</v>
      </c>
      <c r="E41" s="152">
        <v>43894.0</v>
      </c>
      <c r="F41" s="148" t="s">
        <v>580</v>
      </c>
      <c r="G41" s="147">
        <v>5.0</v>
      </c>
      <c r="H41" s="150">
        <v>19950.0</v>
      </c>
      <c r="I41" s="147">
        <v>1.0</v>
      </c>
      <c r="J41" s="150">
        <v>19949.0</v>
      </c>
      <c r="K41" s="147">
        <v>10.93</v>
      </c>
      <c r="L41" s="150">
        <v>16213.41</v>
      </c>
      <c r="M41" s="150">
        <v>1978.33</v>
      </c>
      <c r="N41" s="150">
        <v>1757.26</v>
      </c>
      <c r="O41" s="151">
        <f t="shared" si="1"/>
        <v>1758.26</v>
      </c>
    </row>
    <row r="42">
      <c r="A42" s="147">
        <v>40.0</v>
      </c>
      <c r="B42" s="148" t="s">
        <v>942</v>
      </c>
      <c r="C42" s="148" t="s">
        <v>943</v>
      </c>
      <c r="D42" s="148" t="s">
        <v>234</v>
      </c>
      <c r="E42" s="149" t="s">
        <v>944</v>
      </c>
      <c r="F42" s="148" t="s">
        <v>945</v>
      </c>
      <c r="G42" s="147">
        <v>5.0</v>
      </c>
      <c r="H42" s="150">
        <v>19950.0</v>
      </c>
      <c r="I42" s="147">
        <v>1.0</v>
      </c>
      <c r="J42" s="150">
        <v>19949.0</v>
      </c>
      <c r="K42" s="147">
        <v>10.93</v>
      </c>
      <c r="L42" s="150">
        <v>9908.66</v>
      </c>
      <c r="M42" s="150">
        <v>1978.33</v>
      </c>
      <c r="N42" s="150">
        <v>8062.01</v>
      </c>
      <c r="O42" s="151">
        <f t="shared" si="1"/>
        <v>8063.01</v>
      </c>
    </row>
    <row r="43">
      <c r="A43" s="147">
        <v>41.0</v>
      </c>
      <c r="B43" s="148" t="s">
        <v>946</v>
      </c>
      <c r="C43" s="148" t="s">
        <v>947</v>
      </c>
      <c r="D43" s="148" t="s">
        <v>445</v>
      </c>
      <c r="E43" s="152">
        <v>44900.0</v>
      </c>
      <c r="F43" s="148" t="s">
        <v>844</v>
      </c>
      <c r="G43" s="147">
        <v>5.0</v>
      </c>
      <c r="H43" s="150">
        <v>19950.0</v>
      </c>
      <c r="I43" s="147">
        <v>1.0</v>
      </c>
      <c r="J43" s="150">
        <v>19949.0</v>
      </c>
      <c r="K43" s="147">
        <v>10.93</v>
      </c>
      <c r="L43" s="150">
        <v>9908.66</v>
      </c>
      <c r="M43" s="150">
        <v>1978.33</v>
      </c>
      <c r="N43" s="150">
        <v>8062.01</v>
      </c>
      <c r="O43" s="151">
        <f t="shared" si="1"/>
        <v>8063.01</v>
      </c>
    </row>
    <row r="44">
      <c r="A44" s="147">
        <v>42.0</v>
      </c>
      <c r="B44" s="148" t="s">
        <v>948</v>
      </c>
      <c r="C44" s="148" t="s">
        <v>949</v>
      </c>
      <c r="D44" s="148" t="s">
        <v>445</v>
      </c>
      <c r="E44" s="152">
        <v>44900.0</v>
      </c>
      <c r="F44" s="148" t="s">
        <v>844</v>
      </c>
      <c r="G44" s="147">
        <v>5.0</v>
      </c>
      <c r="H44" s="150">
        <v>19950.0</v>
      </c>
      <c r="I44" s="147">
        <v>1.0</v>
      </c>
      <c r="J44" s="150">
        <v>19949.0</v>
      </c>
      <c r="K44" s="147">
        <v>10.93</v>
      </c>
      <c r="L44" s="150">
        <v>9908.65</v>
      </c>
      <c r="M44" s="150">
        <v>1978.33</v>
      </c>
      <c r="N44" s="150">
        <v>8062.02</v>
      </c>
      <c r="O44" s="151">
        <f t="shared" si="1"/>
        <v>8063.02</v>
      </c>
    </row>
    <row r="45">
      <c r="A45" s="147">
        <v>43.0</v>
      </c>
      <c r="B45" s="148" t="s">
        <v>950</v>
      </c>
      <c r="C45" s="148" t="s">
        <v>951</v>
      </c>
      <c r="D45" s="148" t="s">
        <v>443</v>
      </c>
      <c r="E45" s="149" t="s">
        <v>952</v>
      </c>
      <c r="F45" s="148" t="s">
        <v>953</v>
      </c>
      <c r="G45" s="147">
        <v>5.0</v>
      </c>
      <c r="H45" s="150">
        <v>19950.0</v>
      </c>
      <c r="I45" s="147">
        <v>1.0</v>
      </c>
      <c r="J45" s="150">
        <v>19949.0</v>
      </c>
      <c r="K45" s="147">
        <v>10.93</v>
      </c>
      <c r="L45" s="150">
        <v>12597.81</v>
      </c>
      <c r="M45" s="150">
        <v>1978.33</v>
      </c>
      <c r="N45" s="150">
        <v>5372.86</v>
      </c>
      <c r="O45" s="151">
        <f t="shared" si="1"/>
        <v>5373.86</v>
      </c>
    </row>
    <row r="46">
      <c r="A46" s="147"/>
      <c r="B46" s="148"/>
      <c r="C46" s="148"/>
      <c r="D46" s="148"/>
      <c r="E46" s="148"/>
      <c r="F46" s="148"/>
      <c r="G46" s="147"/>
      <c r="H46" s="153">
        <f>sum(H3:H45)</f>
        <v>1225730</v>
      </c>
      <c r="I46" s="150"/>
      <c r="J46" s="153">
        <f>sum(J3:J45)</f>
        <v>1225687</v>
      </c>
      <c r="K46" s="150"/>
      <c r="L46" s="153">
        <f t="shared" ref="L46:N46" si="2">sum(L3:L45)</f>
        <v>1110145.74</v>
      </c>
      <c r="M46" s="153">
        <f t="shared" si="2"/>
        <v>62641.28</v>
      </c>
      <c r="N46" s="153">
        <f t="shared" si="2"/>
        <v>52899.98</v>
      </c>
      <c r="O46" s="154">
        <f>SUM(O3:O45)</f>
        <v>52942.98</v>
      </c>
    </row>
  </sheetData>
  <mergeCells count="1">
    <mergeCell ref="A1:O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0"/>
    <col customWidth="1" min="3" max="3" width="14.5"/>
    <col customWidth="1" min="4" max="4" width="16.0"/>
    <col customWidth="1" min="5" max="5" width="14.5"/>
    <col customWidth="1" min="6" max="6" width="28.5"/>
    <col customWidth="1" min="15" max="15" width="11.88"/>
  </cols>
  <sheetData>
    <row r="1">
      <c r="A1" s="132" t="s">
        <v>954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>
      <c r="A2" s="155" t="s">
        <v>20</v>
      </c>
      <c r="B2" s="18"/>
      <c r="C2" s="18"/>
      <c r="D2" s="18"/>
      <c r="E2" s="18"/>
      <c r="F2" s="4"/>
      <c r="G2" s="146"/>
      <c r="H2" s="146"/>
      <c r="I2" s="146"/>
      <c r="J2" s="146"/>
      <c r="K2" s="146"/>
      <c r="L2" s="146"/>
      <c r="M2" s="146"/>
      <c r="N2" s="146"/>
      <c r="O2" s="151"/>
    </row>
    <row r="3">
      <c r="A3" s="146" t="s">
        <v>339</v>
      </c>
      <c r="B3" s="156" t="s">
        <v>340</v>
      </c>
      <c r="C3" s="157" t="s">
        <v>341</v>
      </c>
      <c r="D3" s="156" t="s">
        <v>342</v>
      </c>
      <c r="E3" s="158" t="s">
        <v>343</v>
      </c>
      <c r="F3" s="157" t="s">
        <v>344</v>
      </c>
      <c r="G3" s="146" t="s">
        <v>345</v>
      </c>
      <c r="H3" s="146" t="s">
        <v>346</v>
      </c>
      <c r="I3" s="146" t="s">
        <v>347</v>
      </c>
      <c r="J3" s="146" t="s">
        <v>348</v>
      </c>
      <c r="K3" s="146" t="s">
        <v>349</v>
      </c>
      <c r="L3" s="146" t="s">
        <v>350</v>
      </c>
      <c r="M3" s="146" t="s">
        <v>351</v>
      </c>
      <c r="N3" s="146" t="s">
        <v>352</v>
      </c>
      <c r="O3" s="135" t="s">
        <v>955</v>
      </c>
    </row>
    <row r="4">
      <c r="A4" s="159">
        <v>1.0</v>
      </c>
      <c r="B4" s="160" t="s">
        <v>549</v>
      </c>
      <c r="C4" s="148" t="s">
        <v>956</v>
      </c>
      <c r="D4" s="160" t="s">
        <v>376</v>
      </c>
      <c r="E4" s="161">
        <v>42606.0</v>
      </c>
      <c r="F4" s="148" t="s">
        <v>957</v>
      </c>
      <c r="G4" s="162">
        <v>5.0</v>
      </c>
      <c r="H4" s="150">
        <v>38790.0</v>
      </c>
      <c r="I4" s="162">
        <v>0.0</v>
      </c>
      <c r="J4" s="150">
        <v>38790.0</v>
      </c>
      <c r="K4" s="162">
        <v>21.25</v>
      </c>
      <c r="L4" s="150">
        <v>38789.0</v>
      </c>
      <c r="M4" s="162">
        <v>0.0</v>
      </c>
      <c r="N4" s="162">
        <v>1.0</v>
      </c>
      <c r="O4" s="151">
        <f t="shared" ref="O4:O12" si="1">I4+N4</f>
        <v>1</v>
      </c>
    </row>
    <row r="5">
      <c r="A5" s="159">
        <v>2.0</v>
      </c>
      <c r="B5" s="160" t="s">
        <v>429</v>
      </c>
      <c r="C5" s="148" t="s">
        <v>958</v>
      </c>
      <c r="D5" s="160" t="s">
        <v>383</v>
      </c>
      <c r="E5" s="161">
        <v>40389.0</v>
      </c>
      <c r="F5" s="148" t="s">
        <v>959</v>
      </c>
      <c r="G5" s="162">
        <v>5.0</v>
      </c>
      <c r="H5" s="150">
        <v>34827.0</v>
      </c>
      <c r="I5" s="162">
        <v>0.0</v>
      </c>
      <c r="J5" s="150">
        <v>34827.0</v>
      </c>
      <c r="K5" s="162">
        <v>19.08</v>
      </c>
      <c r="L5" s="150">
        <v>34826.0</v>
      </c>
      <c r="M5" s="162">
        <v>0.0</v>
      </c>
      <c r="N5" s="162">
        <v>1.0</v>
      </c>
      <c r="O5" s="151">
        <f t="shared" si="1"/>
        <v>1</v>
      </c>
    </row>
    <row r="6">
      <c r="A6" s="147"/>
      <c r="B6" s="160"/>
      <c r="C6" s="148"/>
      <c r="D6" s="160"/>
      <c r="E6" s="163"/>
      <c r="F6" s="148"/>
      <c r="G6" s="147"/>
      <c r="H6" s="147"/>
      <c r="I6" s="147"/>
      <c r="J6" s="147"/>
      <c r="K6" s="147"/>
      <c r="L6" s="147"/>
      <c r="M6" s="147"/>
      <c r="N6" s="147"/>
      <c r="O6" s="151">
        <f t="shared" si="1"/>
        <v>0</v>
      </c>
    </row>
    <row r="7">
      <c r="A7" s="155" t="s">
        <v>205</v>
      </c>
      <c r="B7" s="18"/>
      <c r="C7" s="18"/>
      <c r="D7" s="18"/>
      <c r="E7" s="18"/>
      <c r="F7" s="4"/>
      <c r="G7" s="146"/>
      <c r="H7" s="146"/>
      <c r="I7" s="146"/>
      <c r="J7" s="146"/>
      <c r="K7" s="146"/>
      <c r="L7" s="146"/>
      <c r="M7" s="146"/>
      <c r="N7" s="146"/>
      <c r="O7" s="151">
        <f t="shared" si="1"/>
        <v>0</v>
      </c>
    </row>
    <row r="8">
      <c r="A8" s="159">
        <v>1.0</v>
      </c>
      <c r="B8" s="160" t="s">
        <v>960</v>
      </c>
      <c r="C8" s="148" t="s">
        <v>961</v>
      </c>
      <c r="D8" s="160" t="s">
        <v>208</v>
      </c>
      <c r="E8" s="161">
        <v>43458.0</v>
      </c>
      <c r="F8" s="148" t="s">
        <v>400</v>
      </c>
      <c r="G8" s="162">
        <v>5.0</v>
      </c>
      <c r="H8" s="150">
        <v>11400.0</v>
      </c>
      <c r="I8" s="162">
        <v>228.0</v>
      </c>
      <c r="J8" s="150">
        <v>11172.0</v>
      </c>
      <c r="K8" s="162">
        <v>6.12</v>
      </c>
      <c r="L8" s="150">
        <v>9641.77</v>
      </c>
      <c r="M8" s="150">
        <v>1297.44</v>
      </c>
      <c r="N8" s="162">
        <v>232.79</v>
      </c>
      <c r="O8" s="151">
        <f t="shared" si="1"/>
        <v>460.79</v>
      </c>
    </row>
    <row r="9">
      <c r="A9" s="159">
        <v>2.0</v>
      </c>
      <c r="B9" s="160" t="s">
        <v>960</v>
      </c>
      <c r="C9" s="148" t="s">
        <v>962</v>
      </c>
      <c r="D9" s="160" t="s">
        <v>208</v>
      </c>
      <c r="E9" s="161">
        <v>43458.0</v>
      </c>
      <c r="F9" s="148" t="s">
        <v>400</v>
      </c>
      <c r="G9" s="162">
        <v>5.0</v>
      </c>
      <c r="H9" s="150">
        <v>11400.0</v>
      </c>
      <c r="I9" s="162">
        <v>228.0</v>
      </c>
      <c r="J9" s="150">
        <v>11172.0</v>
      </c>
      <c r="K9" s="162">
        <v>6.12</v>
      </c>
      <c r="L9" s="150">
        <v>9641.77</v>
      </c>
      <c r="M9" s="150">
        <v>1297.44</v>
      </c>
      <c r="N9" s="162">
        <v>232.79</v>
      </c>
      <c r="O9" s="151">
        <f t="shared" si="1"/>
        <v>460.79</v>
      </c>
    </row>
    <row r="10">
      <c r="A10" s="147"/>
      <c r="B10" s="160"/>
      <c r="C10" s="148"/>
      <c r="D10" s="160"/>
      <c r="E10" s="163"/>
      <c r="F10" s="148"/>
      <c r="G10" s="147"/>
      <c r="H10" s="147"/>
      <c r="I10" s="147"/>
      <c r="J10" s="147"/>
      <c r="K10" s="147"/>
      <c r="L10" s="147"/>
      <c r="M10" s="147"/>
      <c r="N10" s="147"/>
      <c r="O10" s="151">
        <f t="shared" si="1"/>
        <v>0</v>
      </c>
    </row>
    <row r="11">
      <c r="A11" s="155" t="s">
        <v>963</v>
      </c>
      <c r="B11" s="18"/>
      <c r="C11" s="18"/>
      <c r="D11" s="18"/>
      <c r="E11" s="18"/>
      <c r="F11" s="18"/>
      <c r="G11" s="164"/>
      <c r="H11" s="164"/>
      <c r="I11" s="164"/>
      <c r="J11" s="164"/>
      <c r="K11" s="164"/>
      <c r="L11" s="164"/>
      <c r="M11" s="164"/>
      <c r="N11" s="165"/>
      <c r="O11" s="151">
        <f t="shared" si="1"/>
        <v>0</v>
      </c>
    </row>
    <row r="12">
      <c r="A12" s="159">
        <v>1.0</v>
      </c>
      <c r="B12" s="160" t="s">
        <v>960</v>
      </c>
      <c r="C12" s="148" t="s">
        <v>964</v>
      </c>
      <c r="D12" s="160" t="s">
        <v>445</v>
      </c>
      <c r="E12" s="161">
        <v>43458.0</v>
      </c>
      <c r="F12" s="148" t="s">
        <v>965</v>
      </c>
      <c r="G12" s="162">
        <v>5.0</v>
      </c>
      <c r="H12" s="150">
        <v>11400.0</v>
      </c>
      <c r="I12" s="162">
        <v>228.0</v>
      </c>
      <c r="J12" s="150">
        <v>11172.0</v>
      </c>
      <c r="K12" s="162">
        <v>6.12</v>
      </c>
      <c r="L12" s="150">
        <v>9641.77</v>
      </c>
      <c r="M12" s="150">
        <v>1297.44</v>
      </c>
      <c r="N12" s="162">
        <v>232.79</v>
      </c>
      <c r="O12" s="151">
        <f t="shared" si="1"/>
        <v>460.79</v>
      </c>
    </row>
    <row r="13">
      <c r="A13" s="147"/>
      <c r="B13" s="160"/>
      <c r="C13" s="148"/>
      <c r="D13" s="160"/>
      <c r="E13" s="163"/>
      <c r="F13" s="148"/>
      <c r="G13" s="147"/>
      <c r="H13" s="147"/>
      <c r="I13" s="147"/>
      <c r="J13" s="147"/>
      <c r="K13" s="147"/>
      <c r="L13" s="147"/>
      <c r="M13" s="147"/>
      <c r="N13" s="147"/>
      <c r="O13" s="154">
        <f>SUM(O4:O12)</f>
        <v>1384.37</v>
      </c>
    </row>
  </sheetData>
  <mergeCells count="4">
    <mergeCell ref="A1:O1"/>
    <mergeCell ref="A2:F2"/>
    <mergeCell ref="A7:F7"/>
    <mergeCell ref="A11:F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6.75"/>
    <col customWidth="1" min="3" max="3" width="14.38"/>
    <col customWidth="1" min="6" max="6" width="17.63"/>
    <col customWidth="1" min="7" max="7" width="10.38"/>
    <col customWidth="1" min="8" max="8" width="11.25"/>
    <col customWidth="1" min="9" max="9" width="12.88"/>
    <col customWidth="1" min="10" max="10" width="15.5"/>
    <col customWidth="1" min="11" max="11" width="11.75"/>
    <col customWidth="1" min="12" max="12" width="12.25"/>
    <col customWidth="1" min="13" max="13" width="12.0"/>
    <col customWidth="1" min="14" max="14" width="9.38"/>
    <col customWidth="1" min="15" max="15" width="9.25"/>
  </cols>
  <sheetData>
    <row r="1">
      <c r="A1" s="132" t="s">
        <v>966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>
      <c r="A2" s="155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4"/>
      <c r="O2" s="147"/>
    </row>
    <row r="3">
      <c r="A3" s="146" t="s">
        <v>339</v>
      </c>
      <c r="B3" s="156" t="s">
        <v>340</v>
      </c>
      <c r="C3" s="157" t="s">
        <v>341</v>
      </c>
      <c r="D3" s="156" t="s">
        <v>342</v>
      </c>
      <c r="E3" s="156" t="s">
        <v>343</v>
      </c>
      <c r="F3" s="157" t="s">
        <v>344</v>
      </c>
      <c r="G3" s="146" t="s">
        <v>345</v>
      </c>
      <c r="H3" s="146" t="s">
        <v>346</v>
      </c>
      <c r="I3" s="146" t="s">
        <v>347</v>
      </c>
      <c r="J3" s="146" t="s">
        <v>348</v>
      </c>
      <c r="K3" s="146" t="s">
        <v>349</v>
      </c>
      <c r="L3" s="146" t="s">
        <v>350</v>
      </c>
      <c r="M3" s="146" t="s">
        <v>351</v>
      </c>
      <c r="N3" s="146" t="s">
        <v>352</v>
      </c>
      <c r="O3" s="134" t="s">
        <v>955</v>
      </c>
    </row>
    <row r="4">
      <c r="A4" s="155" t="s">
        <v>963</v>
      </c>
      <c r="B4" s="18"/>
      <c r="C4" s="18"/>
      <c r="D4" s="18"/>
      <c r="E4" s="18"/>
      <c r="F4" s="4"/>
      <c r="G4" s="146"/>
      <c r="H4" s="146"/>
      <c r="I4" s="146"/>
      <c r="J4" s="146"/>
      <c r="K4" s="146"/>
      <c r="L4" s="146"/>
      <c r="M4" s="146"/>
      <c r="N4" s="146"/>
      <c r="O4" s="147">
        <f t="shared" ref="O4:O13" si="1">I4+N4</f>
        <v>0</v>
      </c>
    </row>
    <row r="5">
      <c r="A5" s="159">
        <v>1.0</v>
      </c>
      <c r="B5" s="160" t="s">
        <v>967</v>
      </c>
      <c r="C5" s="148" t="s">
        <v>968</v>
      </c>
      <c r="D5" s="160" t="s">
        <v>127</v>
      </c>
      <c r="E5" s="166">
        <v>40499.0</v>
      </c>
      <c r="F5" s="148" t="s">
        <v>969</v>
      </c>
      <c r="G5" s="162">
        <v>6.0</v>
      </c>
      <c r="H5" s="150">
        <v>62932.14</v>
      </c>
      <c r="I5" s="162">
        <v>0.0</v>
      </c>
      <c r="J5" s="150">
        <v>62932.14</v>
      </c>
      <c r="K5" s="162">
        <v>28.74</v>
      </c>
      <c r="L5" s="150">
        <v>62931.14</v>
      </c>
      <c r="M5" s="162">
        <v>0.0</v>
      </c>
      <c r="N5" s="162">
        <v>1.0</v>
      </c>
      <c r="O5" s="162">
        <f t="shared" si="1"/>
        <v>1</v>
      </c>
    </row>
    <row r="6">
      <c r="A6" s="147"/>
      <c r="B6" s="160"/>
      <c r="C6" s="148"/>
      <c r="D6" s="160"/>
      <c r="E6" s="160"/>
      <c r="F6" s="148"/>
      <c r="G6" s="147"/>
      <c r="H6" s="147"/>
      <c r="I6" s="147"/>
      <c r="J6" s="147"/>
      <c r="K6" s="147"/>
      <c r="L6" s="147"/>
      <c r="M6" s="147"/>
      <c r="N6" s="147"/>
      <c r="O6" s="147">
        <f t="shared" si="1"/>
        <v>0</v>
      </c>
    </row>
    <row r="7">
      <c r="A7" s="155" t="s">
        <v>245</v>
      </c>
      <c r="B7" s="18"/>
      <c r="C7" s="18"/>
      <c r="D7" s="18"/>
      <c r="E7" s="18"/>
      <c r="F7" s="4"/>
      <c r="G7" s="146"/>
      <c r="H7" s="146"/>
      <c r="I7" s="146"/>
      <c r="J7" s="146"/>
      <c r="K7" s="146"/>
      <c r="L7" s="146"/>
      <c r="M7" s="146"/>
      <c r="N7" s="146"/>
      <c r="O7" s="147">
        <f t="shared" si="1"/>
        <v>0</v>
      </c>
    </row>
    <row r="8">
      <c r="A8" s="167">
        <v>1.0</v>
      </c>
      <c r="B8" s="160" t="s">
        <v>970</v>
      </c>
      <c r="C8" s="148" t="s">
        <v>971</v>
      </c>
      <c r="D8" s="160" t="s">
        <v>258</v>
      </c>
      <c r="E8" s="166">
        <v>40499.0</v>
      </c>
      <c r="F8" s="148" t="s">
        <v>921</v>
      </c>
      <c r="G8" s="162">
        <v>6.0</v>
      </c>
      <c r="H8" s="150">
        <v>62932.14</v>
      </c>
      <c r="I8" s="162">
        <v>0.0</v>
      </c>
      <c r="J8" s="150">
        <v>62932.14</v>
      </c>
      <c r="K8" s="162">
        <v>28.74</v>
      </c>
      <c r="L8" s="150">
        <v>62931.14</v>
      </c>
      <c r="M8" s="162">
        <v>0.0</v>
      </c>
      <c r="N8" s="162">
        <v>1.0</v>
      </c>
      <c r="O8" s="162">
        <f t="shared" si="1"/>
        <v>1</v>
      </c>
    </row>
    <row r="9">
      <c r="A9" s="147"/>
      <c r="B9" s="160"/>
      <c r="C9" s="148"/>
      <c r="D9" s="160"/>
      <c r="E9" s="160"/>
      <c r="F9" s="148"/>
      <c r="G9" s="147"/>
      <c r="H9" s="147"/>
      <c r="I9" s="147"/>
      <c r="J9" s="147"/>
      <c r="K9" s="147"/>
      <c r="L9" s="147"/>
      <c r="M9" s="147"/>
      <c r="N9" s="147"/>
      <c r="O9" s="147">
        <f t="shared" si="1"/>
        <v>0</v>
      </c>
    </row>
    <row r="10">
      <c r="A10" s="155" t="s">
        <v>272</v>
      </c>
      <c r="B10" s="18"/>
      <c r="C10" s="18"/>
      <c r="D10" s="18"/>
      <c r="E10" s="18"/>
      <c r="F10" s="4"/>
      <c r="G10" s="146"/>
      <c r="H10" s="146"/>
      <c r="I10" s="146"/>
      <c r="J10" s="146"/>
      <c r="K10" s="146"/>
      <c r="L10" s="146"/>
      <c r="M10" s="146"/>
      <c r="N10" s="146"/>
      <c r="O10" s="147">
        <f t="shared" si="1"/>
        <v>0</v>
      </c>
    </row>
    <row r="11">
      <c r="A11" s="167">
        <v>1.0</v>
      </c>
      <c r="B11" s="160" t="s">
        <v>972</v>
      </c>
      <c r="C11" s="148" t="s">
        <v>973</v>
      </c>
      <c r="D11" s="160" t="s">
        <v>559</v>
      </c>
      <c r="E11" s="166">
        <v>40499.0</v>
      </c>
      <c r="F11" s="148" t="s">
        <v>974</v>
      </c>
      <c r="G11" s="162">
        <v>6.0</v>
      </c>
      <c r="H11" s="150">
        <v>62932.14</v>
      </c>
      <c r="I11" s="162">
        <v>0.0</v>
      </c>
      <c r="J11" s="150">
        <v>62932.14</v>
      </c>
      <c r="K11" s="162">
        <v>28.74</v>
      </c>
      <c r="L11" s="150">
        <v>62931.14</v>
      </c>
      <c r="M11" s="162">
        <v>0.0</v>
      </c>
      <c r="N11" s="162">
        <v>1.0</v>
      </c>
      <c r="O11" s="162">
        <f t="shared" si="1"/>
        <v>1</v>
      </c>
    </row>
    <row r="12">
      <c r="A12" s="167">
        <v>2.0</v>
      </c>
      <c r="B12" s="160" t="s">
        <v>327</v>
      </c>
      <c r="C12" s="160" t="s">
        <v>975</v>
      </c>
      <c r="D12" s="160" t="s">
        <v>566</v>
      </c>
      <c r="E12" s="166">
        <v>40499.0</v>
      </c>
      <c r="F12" s="148" t="s">
        <v>567</v>
      </c>
      <c r="G12" s="162">
        <v>6.0</v>
      </c>
      <c r="H12" s="150">
        <v>62932.14</v>
      </c>
      <c r="I12" s="162">
        <v>0.0</v>
      </c>
      <c r="J12" s="150">
        <v>62932.14</v>
      </c>
      <c r="K12" s="162">
        <v>28.74</v>
      </c>
      <c r="L12" s="150">
        <v>62931.14</v>
      </c>
      <c r="M12" s="162">
        <v>0.0</v>
      </c>
      <c r="N12" s="162">
        <v>1.0</v>
      </c>
      <c r="O12" s="162">
        <f t="shared" si="1"/>
        <v>1</v>
      </c>
    </row>
    <row r="13">
      <c r="A13" s="167">
        <v>3.0</v>
      </c>
      <c r="B13" s="160" t="s">
        <v>976</v>
      </c>
      <c r="C13" s="160" t="s">
        <v>977</v>
      </c>
      <c r="D13" s="160" t="s">
        <v>589</v>
      </c>
      <c r="E13" s="166">
        <v>40499.0</v>
      </c>
      <c r="F13" s="148" t="s">
        <v>590</v>
      </c>
      <c r="G13" s="162">
        <v>6.0</v>
      </c>
      <c r="H13" s="150">
        <v>62932.14</v>
      </c>
      <c r="I13" s="162">
        <v>0.0</v>
      </c>
      <c r="J13" s="150">
        <v>62932.14</v>
      </c>
      <c r="K13" s="162">
        <v>28.74</v>
      </c>
      <c r="L13" s="150">
        <v>62931.14</v>
      </c>
      <c r="M13" s="162">
        <v>0.0</v>
      </c>
      <c r="N13" s="162">
        <v>1.0</v>
      </c>
      <c r="O13" s="162">
        <f t="shared" si="1"/>
        <v>1</v>
      </c>
    </row>
    <row r="14">
      <c r="A14" s="147"/>
      <c r="B14" s="148"/>
      <c r="C14" s="148"/>
      <c r="D14" s="148"/>
      <c r="E14" s="148"/>
      <c r="F14" s="148"/>
      <c r="G14" s="147"/>
      <c r="H14" s="147"/>
      <c r="I14" s="147"/>
      <c r="J14" s="147"/>
      <c r="K14" s="147"/>
      <c r="L14" s="147"/>
      <c r="M14" s="147"/>
      <c r="N14" s="147"/>
      <c r="O14" s="146">
        <f>SUM(O4:O13)</f>
        <v>5</v>
      </c>
    </row>
  </sheetData>
  <mergeCells count="5">
    <mergeCell ref="A1:O1"/>
    <mergeCell ref="A2:N2"/>
    <mergeCell ref="A4:F4"/>
    <mergeCell ref="A7:F7"/>
    <mergeCell ref="A10:F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2.63"/>
    <col customWidth="1" min="6" max="6" width="17.75"/>
    <col customWidth="1" min="15" max="15" width="9.63"/>
  </cols>
  <sheetData>
    <row r="1">
      <c r="A1" s="168" t="s">
        <v>978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>
      <c r="A2" s="169" t="s">
        <v>837</v>
      </c>
      <c r="B2" s="169" t="s">
        <v>340</v>
      </c>
      <c r="C2" s="169" t="s">
        <v>341</v>
      </c>
      <c r="D2" s="169" t="s">
        <v>342</v>
      </c>
      <c r="E2" s="169" t="s">
        <v>343</v>
      </c>
      <c r="F2" s="169" t="s">
        <v>344</v>
      </c>
      <c r="G2" s="170" t="s">
        <v>345</v>
      </c>
      <c r="H2" s="170" t="s">
        <v>346</v>
      </c>
      <c r="I2" s="170" t="s">
        <v>347</v>
      </c>
      <c r="J2" s="170" t="s">
        <v>348</v>
      </c>
      <c r="K2" s="170" t="s">
        <v>349</v>
      </c>
      <c r="L2" s="170" t="s">
        <v>350</v>
      </c>
      <c r="M2" s="170" t="s">
        <v>351</v>
      </c>
      <c r="N2" s="170" t="s">
        <v>352</v>
      </c>
      <c r="O2" s="171" t="s">
        <v>979</v>
      </c>
    </row>
    <row r="3">
      <c r="A3" s="172">
        <v>1.0</v>
      </c>
      <c r="B3" s="90" t="s">
        <v>980</v>
      </c>
      <c r="C3" s="90" t="s">
        <v>981</v>
      </c>
      <c r="D3" s="90" t="s">
        <v>356</v>
      </c>
      <c r="E3" s="172" t="s">
        <v>982</v>
      </c>
      <c r="F3" s="90" t="s">
        <v>368</v>
      </c>
      <c r="G3" s="173">
        <v>5.0</v>
      </c>
      <c r="H3" s="174">
        <v>754800.0</v>
      </c>
      <c r="I3" s="173">
        <v>1.0</v>
      </c>
      <c r="J3" s="174">
        <v>754799.0</v>
      </c>
      <c r="K3" s="173">
        <v>413.59</v>
      </c>
      <c r="L3" s="174">
        <v>721061.3</v>
      </c>
      <c r="M3" s="174">
        <v>33736.7</v>
      </c>
      <c r="N3" s="173">
        <v>1.0</v>
      </c>
      <c r="O3" s="87">
        <f t="shared" ref="O3:O35" si="1">I3+N3</f>
        <v>2</v>
      </c>
    </row>
    <row r="4">
      <c r="A4" s="172">
        <v>2.0</v>
      </c>
      <c r="B4" s="90" t="s">
        <v>983</v>
      </c>
      <c r="C4" s="90" t="s">
        <v>984</v>
      </c>
      <c r="D4" s="90" t="s">
        <v>356</v>
      </c>
      <c r="E4" s="175">
        <v>42948.0</v>
      </c>
      <c r="F4" s="90" t="s">
        <v>360</v>
      </c>
      <c r="G4" s="173">
        <v>5.0</v>
      </c>
      <c r="H4" s="174">
        <v>17900.0</v>
      </c>
      <c r="I4" s="173">
        <v>1.0</v>
      </c>
      <c r="J4" s="174">
        <v>17899.0</v>
      </c>
      <c r="K4" s="173">
        <v>9.81</v>
      </c>
      <c r="L4" s="174">
        <v>17898.0</v>
      </c>
      <c r="M4" s="173">
        <v>0.0</v>
      </c>
      <c r="N4" s="173">
        <v>1.0</v>
      </c>
      <c r="O4" s="87">
        <f t="shared" si="1"/>
        <v>2</v>
      </c>
    </row>
    <row r="5">
      <c r="A5" s="172">
        <v>3.0</v>
      </c>
      <c r="B5" s="90" t="s">
        <v>983</v>
      </c>
      <c r="C5" s="90" t="s">
        <v>985</v>
      </c>
      <c r="D5" s="90" t="s">
        <v>566</v>
      </c>
      <c r="E5" s="175">
        <v>43594.0</v>
      </c>
      <c r="F5" s="90" t="s">
        <v>567</v>
      </c>
      <c r="G5" s="173">
        <v>5.0</v>
      </c>
      <c r="H5" s="174">
        <v>2750.0</v>
      </c>
      <c r="I5" s="173">
        <v>1.0</v>
      </c>
      <c r="J5" s="174">
        <v>2749.0</v>
      </c>
      <c r="K5" s="173">
        <v>1.51</v>
      </c>
      <c r="L5" s="174">
        <v>2606.36</v>
      </c>
      <c r="M5" s="173">
        <v>141.64</v>
      </c>
      <c r="N5" s="173">
        <v>1.0</v>
      </c>
      <c r="O5" s="87">
        <f t="shared" si="1"/>
        <v>2</v>
      </c>
    </row>
    <row r="6">
      <c r="A6" s="172">
        <v>4.0</v>
      </c>
      <c r="B6" s="90" t="s">
        <v>983</v>
      </c>
      <c r="C6" s="90" t="s">
        <v>986</v>
      </c>
      <c r="D6" s="90" t="s">
        <v>297</v>
      </c>
      <c r="E6" s="175">
        <v>43717.0</v>
      </c>
      <c r="F6" s="90" t="s">
        <v>665</v>
      </c>
      <c r="G6" s="173">
        <v>5.0</v>
      </c>
      <c r="H6" s="174">
        <v>2750.0</v>
      </c>
      <c r="I6" s="173">
        <v>1.0</v>
      </c>
      <c r="J6" s="174">
        <v>2749.0</v>
      </c>
      <c r="K6" s="173">
        <v>1.51</v>
      </c>
      <c r="L6" s="174">
        <v>2597.32</v>
      </c>
      <c r="M6" s="173">
        <v>150.68</v>
      </c>
      <c r="N6" s="173">
        <v>1.0</v>
      </c>
      <c r="O6" s="87">
        <f t="shared" si="1"/>
        <v>2</v>
      </c>
    </row>
    <row r="7">
      <c r="A7" s="172">
        <v>5.0</v>
      </c>
      <c r="B7" s="90" t="s">
        <v>983</v>
      </c>
      <c r="C7" s="90" t="s">
        <v>987</v>
      </c>
      <c r="D7" s="90" t="s">
        <v>547</v>
      </c>
      <c r="E7" s="175">
        <v>43747.0</v>
      </c>
      <c r="F7" s="90" t="s">
        <v>548</v>
      </c>
      <c r="G7" s="173">
        <v>5.0</v>
      </c>
      <c r="H7" s="174">
        <v>2750.0</v>
      </c>
      <c r="I7" s="173">
        <v>1.0</v>
      </c>
      <c r="J7" s="174">
        <v>2749.0</v>
      </c>
      <c r="K7" s="173">
        <v>1.51</v>
      </c>
      <c r="L7" s="174">
        <v>2595.06</v>
      </c>
      <c r="M7" s="173">
        <v>152.94</v>
      </c>
      <c r="N7" s="173">
        <v>1.0</v>
      </c>
      <c r="O7" s="87">
        <f t="shared" si="1"/>
        <v>2</v>
      </c>
    </row>
    <row r="8">
      <c r="A8" s="172">
        <v>6.0</v>
      </c>
      <c r="B8" s="90" t="s">
        <v>983</v>
      </c>
      <c r="C8" s="90" t="s">
        <v>988</v>
      </c>
      <c r="D8" s="90" t="s">
        <v>478</v>
      </c>
      <c r="E8" s="175">
        <v>43808.0</v>
      </c>
      <c r="F8" s="90" t="s">
        <v>661</v>
      </c>
      <c r="G8" s="173">
        <v>5.0</v>
      </c>
      <c r="H8" s="174">
        <v>2750.0</v>
      </c>
      <c r="I8" s="173">
        <v>1.0</v>
      </c>
      <c r="J8" s="174">
        <v>2749.0</v>
      </c>
      <c r="K8" s="173">
        <v>1.51</v>
      </c>
      <c r="L8" s="174">
        <v>2590.56</v>
      </c>
      <c r="M8" s="173">
        <v>157.44</v>
      </c>
      <c r="N8" s="173">
        <v>1.0</v>
      </c>
      <c r="O8" s="87">
        <f t="shared" si="1"/>
        <v>2</v>
      </c>
    </row>
    <row r="9">
      <c r="A9" s="172">
        <v>7.0</v>
      </c>
      <c r="B9" s="90" t="s">
        <v>983</v>
      </c>
      <c r="C9" s="90" t="s">
        <v>989</v>
      </c>
      <c r="D9" s="90" t="s">
        <v>570</v>
      </c>
      <c r="E9" s="172" t="s">
        <v>871</v>
      </c>
      <c r="F9" s="90" t="s">
        <v>571</v>
      </c>
      <c r="G9" s="173">
        <v>5.0</v>
      </c>
      <c r="H9" s="174">
        <v>2750.0</v>
      </c>
      <c r="I9" s="173">
        <v>1.0</v>
      </c>
      <c r="J9" s="174">
        <v>2749.0</v>
      </c>
      <c r="K9" s="173">
        <v>1.51</v>
      </c>
      <c r="L9" s="174">
        <v>2586.04</v>
      </c>
      <c r="M9" s="173">
        <v>161.96</v>
      </c>
      <c r="N9" s="173">
        <v>1.0</v>
      </c>
      <c r="O9" s="87">
        <f t="shared" si="1"/>
        <v>2</v>
      </c>
    </row>
    <row r="10">
      <c r="A10" s="172">
        <v>8.0</v>
      </c>
      <c r="B10" s="90" t="s">
        <v>983</v>
      </c>
      <c r="C10" s="90" t="s">
        <v>990</v>
      </c>
      <c r="D10" s="90" t="s">
        <v>312</v>
      </c>
      <c r="E10" s="172" t="s">
        <v>874</v>
      </c>
      <c r="F10" s="90" t="s">
        <v>715</v>
      </c>
      <c r="G10" s="173">
        <v>5.0</v>
      </c>
      <c r="H10" s="174">
        <v>2750.0</v>
      </c>
      <c r="I10" s="173">
        <v>1.0</v>
      </c>
      <c r="J10" s="174">
        <v>2749.0</v>
      </c>
      <c r="K10" s="173">
        <v>1.51</v>
      </c>
      <c r="L10" s="174">
        <v>2511.54</v>
      </c>
      <c r="M10" s="173">
        <v>236.46</v>
      </c>
      <c r="N10" s="173">
        <v>1.0</v>
      </c>
      <c r="O10" s="87">
        <f t="shared" si="1"/>
        <v>2</v>
      </c>
    </row>
    <row r="11">
      <c r="A11" s="172">
        <v>9.0</v>
      </c>
      <c r="B11" s="90" t="s">
        <v>983</v>
      </c>
      <c r="C11" s="90" t="s">
        <v>991</v>
      </c>
      <c r="D11" s="90" t="s">
        <v>307</v>
      </c>
      <c r="E11" s="172" t="s">
        <v>877</v>
      </c>
      <c r="F11" s="90" t="s">
        <v>593</v>
      </c>
      <c r="G11" s="173">
        <v>5.0</v>
      </c>
      <c r="H11" s="174">
        <v>2750.0</v>
      </c>
      <c r="I11" s="173">
        <v>1.0</v>
      </c>
      <c r="J11" s="174">
        <v>2749.0</v>
      </c>
      <c r="K11" s="173">
        <v>1.51</v>
      </c>
      <c r="L11" s="174">
        <v>2507.02</v>
      </c>
      <c r="M11" s="173">
        <v>240.98</v>
      </c>
      <c r="N11" s="173">
        <v>1.0</v>
      </c>
      <c r="O11" s="87">
        <f t="shared" si="1"/>
        <v>2</v>
      </c>
    </row>
    <row r="12">
      <c r="A12" s="172">
        <v>10.0</v>
      </c>
      <c r="B12" s="90" t="s">
        <v>983</v>
      </c>
      <c r="C12" s="90" t="s">
        <v>992</v>
      </c>
      <c r="D12" s="90" t="s">
        <v>605</v>
      </c>
      <c r="E12" s="172" t="s">
        <v>877</v>
      </c>
      <c r="F12" s="90" t="s">
        <v>606</v>
      </c>
      <c r="G12" s="173">
        <v>5.0</v>
      </c>
      <c r="H12" s="174">
        <v>2750.0</v>
      </c>
      <c r="I12" s="173">
        <v>1.0</v>
      </c>
      <c r="J12" s="174">
        <v>2749.0</v>
      </c>
      <c r="K12" s="173">
        <v>1.51</v>
      </c>
      <c r="L12" s="174">
        <v>2507.02</v>
      </c>
      <c r="M12" s="173">
        <v>240.98</v>
      </c>
      <c r="N12" s="173">
        <v>1.0</v>
      </c>
      <c r="O12" s="87">
        <f t="shared" si="1"/>
        <v>2</v>
      </c>
    </row>
    <row r="13">
      <c r="A13" s="172">
        <v>11.0</v>
      </c>
      <c r="B13" s="90" t="s">
        <v>983</v>
      </c>
      <c r="C13" s="90" t="s">
        <v>993</v>
      </c>
      <c r="D13" s="90" t="s">
        <v>559</v>
      </c>
      <c r="E13" s="172" t="s">
        <v>882</v>
      </c>
      <c r="F13" s="90" t="s">
        <v>560</v>
      </c>
      <c r="G13" s="173">
        <v>5.0</v>
      </c>
      <c r="H13" s="174">
        <v>2750.0</v>
      </c>
      <c r="I13" s="173">
        <v>1.0</v>
      </c>
      <c r="J13" s="174">
        <v>2749.0</v>
      </c>
      <c r="K13" s="173">
        <v>1.51</v>
      </c>
      <c r="L13" s="174">
        <v>2504.76</v>
      </c>
      <c r="M13" s="173">
        <v>243.24</v>
      </c>
      <c r="N13" s="173">
        <v>1.0</v>
      </c>
      <c r="O13" s="87">
        <f t="shared" si="1"/>
        <v>2</v>
      </c>
    </row>
    <row r="14">
      <c r="A14" s="172">
        <v>12.0</v>
      </c>
      <c r="B14" s="90" t="s">
        <v>983</v>
      </c>
      <c r="C14" s="90" t="s">
        <v>994</v>
      </c>
      <c r="D14" s="90" t="s">
        <v>582</v>
      </c>
      <c r="E14" s="172" t="s">
        <v>882</v>
      </c>
      <c r="F14" s="90" t="s">
        <v>583</v>
      </c>
      <c r="G14" s="173">
        <v>5.0</v>
      </c>
      <c r="H14" s="174">
        <v>2750.0</v>
      </c>
      <c r="I14" s="173">
        <v>1.0</v>
      </c>
      <c r="J14" s="174">
        <v>2749.0</v>
      </c>
      <c r="K14" s="173">
        <v>1.51</v>
      </c>
      <c r="L14" s="174">
        <v>2504.76</v>
      </c>
      <c r="M14" s="173">
        <v>243.24</v>
      </c>
      <c r="N14" s="173">
        <v>1.0</v>
      </c>
      <c r="O14" s="87">
        <f t="shared" si="1"/>
        <v>2</v>
      </c>
    </row>
    <row r="15">
      <c r="A15" s="172">
        <v>13.0</v>
      </c>
      <c r="B15" s="90" t="s">
        <v>983</v>
      </c>
      <c r="C15" s="90" t="s">
        <v>995</v>
      </c>
      <c r="D15" s="90" t="s">
        <v>589</v>
      </c>
      <c r="E15" s="172" t="s">
        <v>882</v>
      </c>
      <c r="F15" s="90" t="s">
        <v>590</v>
      </c>
      <c r="G15" s="173">
        <v>5.0</v>
      </c>
      <c r="H15" s="174">
        <v>2750.0</v>
      </c>
      <c r="I15" s="173">
        <v>1.0</v>
      </c>
      <c r="J15" s="174">
        <v>2749.0</v>
      </c>
      <c r="K15" s="173">
        <v>1.51</v>
      </c>
      <c r="L15" s="174">
        <v>2504.76</v>
      </c>
      <c r="M15" s="173">
        <v>243.24</v>
      </c>
      <c r="N15" s="173">
        <v>1.0</v>
      </c>
      <c r="O15" s="87">
        <f t="shared" si="1"/>
        <v>2</v>
      </c>
    </row>
    <row r="16">
      <c r="A16" s="172">
        <v>14.0</v>
      </c>
      <c r="B16" s="90" t="s">
        <v>983</v>
      </c>
      <c r="C16" s="90" t="s">
        <v>996</v>
      </c>
      <c r="D16" s="90" t="s">
        <v>597</v>
      </c>
      <c r="E16" s="172" t="s">
        <v>882</v>
      </c>
      <c r="F16" s="90" t="s">
        <v>598</v>
      </c>
      <c r="G16" s="173">
        <v>5.0</v>
      </c>
      <c r="H16" s="174">
        <v>2750.0</v>
      </c>
      <c r="I16" s="173">
        <v>1.0</v>
      </c>
      <c r="J16" s="174">
        <v>2749.0</v>
      </c>
      <c r="K16" s="173">
        <v>1.51</v>
      </c>
      <c r="L16" s="174">
        <v>2504.76</v>
      </c>
      <c r="M16" s="173">
        <v>243.24</v>
      </c>
      <c r="N16" s="173">
        <v>1.0</v>
      </c>
      <c r="O16" s="87">
        <f t="shared" si="1"/>
        <v>2</v>
      </c>
    </row>
    <row r="17">
      <c r="A17" s="172">
        <v>15.0</v>
      </c>
      <c r="B17" s="90" t="s">
        <v>983</v>
      </c>
      <c r="C17" s="90" t="s">
        <v>997</v>
      </c>
      <c r="D17" s="90" t="s">
        <v>305</v>
      </c>
      <c r="E17" s="172" t="s">
        <v>882</v>
      </c>
      <c r="F17" s="90" t="s">
        <v>587</v>
      </c>
      <c r="G17" s="173">
        <v>5.0</v>
      </c>
      <c r="H17" s="174">
        <v>2750.0</v>
      </c>
      <c r="I17" s="173">
        <v>1.0</v>
      </c>
      <c r="J17" s="174">
        <v>2749.0</v>
      </c>
      <c r="K17" s="173">
        <v>1.51</v>
      </c>
      <c r="L17" s="174">
        <v>2504.76</v>
      </c>
      <c r="M17" s="173">
        <v>243.24</v>
      </c>
      <c r="N17" s="173">
        <v>1.0</v>
      </c>
      <c r="O17" s="87">
        <f t="shared" si="1"/>
        <v>2</v>
      </c>
    </row>
    <row r="18">
      <c r="A18" s="172">
        <v>16.0</v>
      </c>
      <c r="B18" s="90" t="s">
        <v>983</v>
      </c>
      <c r="C18" s="90" t="s">
        <v>998</v>
      </c>
      <c r="D18" s="90" t="s">
        <v>224</v>
      </c>
      <c r="E18" s="172" t="s">
        <v>893</v>
      </c>
      <c r="F18" s="90" t="s">
        <v>422</v>
      </c>
      <c r="G18" s="173">
        <v>5.0</v>
      </c>
      <c r="H18" s="174">
        <v>2750.0</v>
      </c>
      <c r="I18" s="173">
        <v>1.0</v>
      </c>
      <c r="J18" s="174">
        <v>2749.0</v>
      </c>
      <c r="K18" s="173">
        <v>1.51</v>
      </c>
      <c r="L18" s="174">
        <v>2418.98</v>
      </c>
      <c r="M18" s="173">
        <v>273.31</v>
      </c>
      <c r="N18" s="173">
        <v>56.71</v>
      </c>
      <c r="O18" s="87">
        <f t="shared" si="1"/>
        <v>57.71</v>
      </c>
    </row>
    <row r="19">
      <c r="A19" s="172">
        <v>17.0</v>
      </c>
      <c r="B19" s="90" t="s">
        <v>983</v>
      </c>
      <c r="C19" s="90" t="s">
        <v>999</v>
      </c>
      <c r="D19" s="90" t="s">
        <v>534</v>
      </c>
      <c r="E19" s="172" t="s">
        <v>907</v>
      </c>
      <c r="F19" s="90" t="s">
        <v>535</v>
      </c>
      <c r="G19" s="173">
        <v>5.0</v>
      </c>
      <c r="H19" s="174">
        <v>4000.0</v>
      </c>
      <c r="I19" s="173">
        <v>1.0</v>
      </c>
      <c r="J19" s="174">
        <v>3999.0</v>
      </c>
      <c r="K19" s="173">
        <v>2.19</v>
      </c>
      <c r="L19" s="174">
        <v>3379.97</v>
      </c>
      <c r="M19" s="173">
        <v>396.39</v>
      </c>
      <c r="N19" s="173">
        <v>222.64</v>
      </c>
      <c r="O19" s="87">
        <f t="shared" si="1"/>
        <v>223.64</v>
      </c>
    </row>
    <row r="20">
      <c r="A20" s="172">
        <v>18.0</v>
      </c>
      <c r="B20" s="90" t="s">
        <v>983</v>
      </c>
      <c r="C20" s="90" t="s">
        <v>1000</v>
      </c>
      <c r="D20" s="90" t="s">
        <v>256</v>
      </c>
      <c r="E20" s="172" t="s">
        <v>910</v>
      </c>
      <c r="F20" s="90" t="s">
        <v>911</v>
      </c>
      <c r="G20" s="173">
        <v>5.0</v>
      </c>
      <c r="H20" s="174">
        <v>4000.0</v>
      </c>
      <c r="I20" s="173">
        <v>1.0</v>
      </c>
      <c r="J20" s="174">
        <v>3999.0</v>
      </c>
      <c r="K20" s="173">
        <v>2.19</v>
      </c>
      <c r="L20" s="174">
        <v>3376.68</v>
      </c>
      <c r="M20" s="173">
        <v>396.39</v>
      </c>
      <c r="N20" s="173">
        <v>225.93</v>
      </c>
      <c r="O20" s="87">
        <f t="shared" si="1"/>
        <v>226.93</v>
      </c>
    </row>
    <row r="21">
      <c r="A21" s="172">
        <v>19.0</v>
      </c>
      <c r="B21" s="90" t="s">
        <v>983</v>
      </c>
      <c r="C21" s="90" t="s">
        <v>1001</v>
      </c>
      <c r="D21" s="90" t="s">
        <v>526</v>
      </c>
      <c r="E21" s="172" t="s">
        <v>914</v>
      </c>
      <c r="F21" s="90" t="s">
        <v>527</v>
      </c>
      <c r="G21" s="173">
        <v>5.0</v>
      </c>
      <c r="H21" s="174">
        <v>4000.0</v>
      </c>
      <c r="I21" s="173">
        <v>1.0</v>
      </c>
      <c r="J21" s="174">
        <v>3999.0</v>
      </c>
      <c r="K21" s="173">
        <v>2.19</v>
      </c>
      <c r="L21" s="174">
        <v>3375.04</v>
      </c>
      <c r="M21" s="173">
        <v>396.39</v>
      </c>
      <c r="N21" s="173">
        <v>227.57</v>
      </c>
      <c r="O21" s="87">
        <f t="shared" si="1"/>
        <v>228.57</v>
      </c>
    </row>
    <row r="22">
      <c r="A22" s="172">
        <v>20.0</v>
      </c>
      <c r="B22" s="90" t="s">
        <v>983</v>
      </c>
      <c r="C22" s="90" t="s">
        <v>1002</v>
      </c>
      <c r="D22" s="90" t="s">
        <v>520</v>
      </c>
      <c r="E22" s="172" t="s">
        <v>917</v>
      </c>
      <c r="F22" s="90" t="s">
        <v>521</v>
      </c>
      <c r="G22" s="173">
        <v>5.0</v>
      </c>
      <c r="H22" s="174">
        <v>4000.0</v>
      </c>
      <c r="I22" s="173">
        <v>1.0</v>
      </c>
      <c r="J22" s="174">
        <v>3999.0</v>
      </c>
      <c r="K22" s="173">
        <v>2.19</v>
      </c>
      <c r="L22" s="174">
        <v>3365.18</v>
      </c>
      <c r="M22" s="173">
        <v>396.39</v>
      </c>
      <c r="N22" s="173">
        <v>237.43</v>
      </c>
      <c r="O22" s="87">
        <f t="shared" si="1"/>
        <v>238.43</v>
      </c>
    </row>
    <row r="23">
      <c r="A23" s="172">
        <v>21.0</v>
      </c>
      <c r="B23" s="90" t="s">
        <v>983</v>
      </c>
      <c r="C23" s="90" t="s">
        <v>1003</v>
      </c>
      <c r="D23" s="90" t="s">
        <v>258</v>
      </c>
      <c r="E23" s="172" t="s">
        <v>920</v>
      </c>
      <c r="F23" s="90" t="s">
        <v>921</v>
      </c>
      <c r="G23" s="173">
        <v>5.0</v>
      </c>
      <c r="H23" s="174">
        <v>4000.0</v>
      </c>
      <c r="I23" s="173">
        <v>1.0</v>
      </c>
      <c r="J23" s="174">
        <v>3999.0</v>
      </c>
      <c r="K23" s="173">
        <v>2.19</v>
      </c>
      <c r="L23" s="174">
        <v>3363.53</v>
      </c>
      <c r="M23" s="173">
        <v>396.39</v>
      </c>
      <c r="N23" s="173">
        <v>239.08</v>
      </c>
      <c r="O23" s="87">
        <f t="shared" si="1"/>
        <v>240.08</v>
      </c>
    </row>
    <row r="24">
      <c r="A24" s="172">
        <v>22.0</v>
      </c>
      <c r="B24" s="90" t="s">
        <v>983</v>
      </c>
      <c r="C24" s="90" t="s">
        <v>1004</v>
      </c>
      <c r="D24" s="90" t="s">
        <v>515</v>
      </c>
      <c r="E24" s="172" t="s">
        <v>924</v>
      </c>
      <c r="F24" s="90" t="s">
        <v>516</v>
      </c>
      <c r="G24" s="173">
        <v>5.0</v>
      </c>
      <c r="H24" s="174">
        <v>4000.0</v>
      </c>
      <c r="I24" s="173">
        <v>1.0</v>
      </c>
      <c r="J24" s="174">
        <v>3999.0</v>
      </c>
      <c r="K24" s="173">
        <v>2.19</v>
      </c>
      <c r="L24" s="174">
        <v>3361.89</v>
      </c>
      <c r="M24" s="173">
        <v>396.39</v>
      </c>
      <c r="N24" s="173">
        <v>240.72</v>
      </c>
      <c r="O24" s="87">
        <f t="shared" si="1"/>
        <v>241.72</v>
      </c>
    </row>
    <row r="25">
      <c r="A25" s="172">
        <v>23.0</v>
      </c>
      <c r="B25" s="90" t="s">
        <v>983</v>
      </c>
      <c r="C25" s="90" t="s">
        <v>1005</v>
      </c>
      <c r="D25" s="90" t="s">
        <v>510</v>
      </c>
      <c r="E25" s="172" t="s">
        <v>927</v>
      </c>
      <c r="F25" s="90" t="s">
        <v>511</v>
      </c>
      <c r="G25" s="173">
        <v>5.0</v>
      </c>
      <c r="H25" s="174">
        <v>4000.0</v>
      </c>
      <c r="I25" s="173">
        <v>1.0</v>
      </c>
      <c r="J25" s="174">
        <v>3999.0</v>
      </c>
      <c r="K25" s="173">
        <v>2.19</v>
      </c>
      <c r="L25" s="174">
        <v>3360.24</v>
      </c>
      <c r="M25" s="173">
        <v>396.39</v>
      </c>
      <c r="N25" s="173">
        <v>242.37</v>
      </c>
      <c r="O25" s="87">
        <f t="shared" si="1"/>
        <v>243.37</v>
      </c>
    </row>
    <row r="26">
      <c r="A26" s="172">
        <v>24.0</v>
      </c>
      <c r="B26" s="90" t="s">
        <v>983</v>
      </c>
      <c r="C26" s="90" t="s">
        <v>1006</v>
      </c>
      <c r="D26" s="90" t="s">
        <v>510</v>
      </c>
      <c r="E26" s="175">
        <v>43924.0</v>
      </c>
      <c r="F26" s="90" t="s">
        <v>511</v>
      </c>
      <c r="G26" s="173">
        <v>5.0</v>
      </c>
      <c r="H26" s="174">
        <v>4000.0</v>
      </c>
      <c r="I26" s="173">
        <v>1.0</v>
      </c>
      <c r="J26" s="174">
        <v>3999.0</v>
      </c>
      <c r="K26" s="173">
        <v>2.19</v>
      </c>
      <c r="L26" s="174">
        <v>3250.11</v>
      </c>
      <c r="M26" s="173">
        <v>396.39</v>
      </c>
      <c r="N26" s="173">
        <v>352.5</v>
      </c>
      <c r="O26" s="87">
        <f t="shared" si="1"/>
        <v>353.5</v>
      </c>
    </row>
    <row r="27">
      <c r="A27" s="172">
        <v>25.0</v>
      </c>
      <c r="B27" s="90" t="s">
        <v>983</v>
      </c>
      <c r="C27" s="90" t="s">
        <v>1007</v>
      </c>
      <c r="D27" s="90" t="s">
        <v>258</v>
      </c>
      <c r="E27" s="175">
        <v>44016.0</v>
      </c>
      <c r="F27" s="90" t="s">
        <v>921</v>
      </c>
      <c r="G27" s="173">
        <v>5.0</v>
      </c>
      <c r="H27" s="174">
        <v>4000.0</v>
      </c>
      <c r="I27" s="173">
        <v>1.0</v>
      </c>
      <c r="J27" s="174">
        <v>3999.0</v>
      </c>
      <c r="K27" s="173">
        <v>2.19</v>
      </c>
      <c r="L27" s="174">
        <v>3243.53</v>
      </c>
      <c r="M27" s="173">
        <v>396.39</v>
      </c>
      <c r="N27" s="173">
        <v>359.08</v>
      </c>
      <c r="O27" s="87">
        <f t="shared" si="1"/>
        <v>360.08</v>
      </c>
    </row>
    <row r="28">
      <c r="A28" s="172">
        <v>26.0</v>
      </c>
      <c r="B28" s="90" t="s">
        <v>983</v>
      </c>
      <c r="C28" s="90" t="s">
        <v>1008</v>
      </c>
      <c r="D28" s="90" t="s">
        <v>632</v>
      </c>
      <c r="E28" s="172" t="s">
        <v>934</v>
      </c>
      <c r="F28" s="90" t="s">
        <v>633</v>
      </c>
      <c r="G28" s="173">
        <v>5.0</v>
      </c>
      <c r="H28" s="174">
        <v>4000.0</v>
      </c>
      <c r="I28" s="173">
        <v>1.0</v>
      </c>
      <c r="J28" s="174">
        <v>3999.0</v>
      </c>
      <c r="K28" s="173">
        <v>2.19</v>
      </c>
      <c r="L28" s="174">
        <v>3218.87</v>
      </c>
      <c r="M28" s="173">
        <v>396.39</v>
      </c>
      <c r="N28" s="173">
        <v>383.74</v>
      </c>
      <c r="O28" s="87">
        <f t="shared" si="1"/>
        <v>384.74</v>
      </c>
    </row>
    <row r="29">
      <c r="A29" s="172">
        <v>27.0</v>
      </c>
      <c r="B29" s="90" t="s">
        <v>983</v>
      </c>
      <c r="C29" s="90" t="s">
        <v>1009</v>
      </c>
      <c r="D29" s="90" t="s">
        <v>538</v>
      </c>
      <c r="E29" s="175">
        <v>43835.0</v>
      </c>
      <c r="F29" s="90" t="s">
        <v>539</v>
      </c>
      <c r="G29" s="173">
        <v>5.0</v>
      </c>
      <c r="H29" s="174">
        <v>4000.0</v>
      </c>
      <c r="I29" s="173">
        <v>1.0</v>
      </c>
      <c r="J29" s="174">
        <v>3999.0</v>
      </c>
      <c r="K29" s="173">
        <v>2.19</v>
      </c>
      <c r="L29" s="174">
        <v>3204.08</v>
      </c>
      <c r="M29" s="173">
        <v>396.39</v>
      </c>
      <c r="N29" s="173">
        <v>398.53</v>
      </c>
      <c r="O29" s="87">
        <f t="shared" si="1"/>
        <v>399.53</v>
      </c>
    </row>
    <row r="30">
      <c r="A30" s="172">
        <v>28.0</v>
      </c>
      <c r="B30" s="90" t="s">
        <v>983</v>
      </c>
      <c r="C30" s="90" t="s">
        <v>1010</v>
      </c>
      <c r="D30" s="90" t="s">
        <v>478</v>
      </c>
      <c r="E30" s="172" t="s">
        <v>1011</v>
      </c>
      <c r="F30" s="90" t="s">
        <v>548</v>
      </c>
      <c r="G30" s="173">
        <v>5.0</v>
      </c>
      <c r="H30" s="174">
        <v>4000.0</v>
      </c>
      <c r="I30" s="173">
        <v>1.0</v>
      </c>
      <c r="J30" s="174">
        <v>3999.0</v>
      </c>
      <c r="K30" s="173">
        <v>2.19</v>
      </c>
      <c r="L30" s="174">
        <v>3205.72</v>
      </c>
      <c r="M30" s="173">
        <v>396.39</v>
      </c>
      <c r="N30" s="173">
        <v>396.89</v>
      </c>
      <c r="O30" s="87">
        <f t="shared" si="1"/>
        <v>397.89</v>
      </c>
    </row>
    <row r="31">
      <c r="A31" s="172">
        <v>29.0</v>
      </c>
      <c r="B31" s="90" t="s">
        <v>983</v>
      </c>
      <c r="C31" s="90" t="s">
        <v>1012</v>
      </c>
      <c r="D31" s="90" t="s">
        <v>579</v>
      </c>
      <c r="E31" s="175">
        <v>43894.0</v>
      </c>
      <c r="F31" s="90" t="s">
        <v>580</v>
      </c>
      <c r="G31" s="173">
        <v>5.0</v>
      </c>
      <c r="H31" s="174">
        <v>4000.0</v>
      </c>
      <c r="I31" s="173">
        <v>1.0</v>
      </c>
      <c r="J31" s="174">
        <v>3999.0</v>
      </c>
      <c r="K31" s="173">
        <v>2.19</v>
      </c>
      <c r="L31" s="174">
        <v>3250.11</v>
      </c>
      <c r="M31" s="173">
        <v>396.39</v>
      </c>
      <c r="N31" s="173">
        <v>352.5</v>
      </c>
      <c r="O31" s="87">
        <f t="shared" si="1"/>
        <v>353.5</v>
      </c>
    </row>
    <row r="32">
      <c r="A32" s="172">
        <v>30.0</v>
      </c>
      <c r="B32" s="90" t="s">
        <v>983</v>
      </c>
      <c r="C32" s="90" t="s">
        <v>1013</v>
      </c>
      <c r="D32" s="90" t="s">
        <v>234</v>
      </c>
      <c r="E32" s="172" t="s">
        <v>1014</v>
      </c>
      <c r="F32" s="90" t="s">
        <v>945</v>
      </c>
      <c r="G32" s="173">
        <v>5.0</v>
      </c>
      <c r="H32" s="174">
        <v>4000.0</v>
      </c>
      <c r="I32" s="173">
        <v>1.0</v>
      </c>
      <c r="J32" s="174">
        <v>3999.0</v>
      </c>
      <c r="K32" s="173">
        <v>2.19</v>
      </c>
      <c r="L32" s="174">
        <v>1986.0</v>
      </c>
      <c r="M32" s="173">
        <v>396.39</v>
      </c>
      <c r="N32" s="174">
        <v>1616.61</v>
      </c>
      <c r="O32" s="87">
        <f t="shared" si="1"/>
        <v>1617.61</v>
      </c>
    </row>
    <row r="33">
      <c r="A33" s="172">
        <v>31.0</v>
      </c>
      <c r="B33" s="90" t="s">
        <v>983</v>
      </c>
      <c r="C33" s="90" t="s">
        <v>1015</v>
      </c>
      <c r="D33" s="90" t="s">
        <v>445</v>
      </c>
      <c r="E33" s="175">
        <v>44900.0</v>
      </c>
      <c r="F33" s="90" t="s">
        <v>844</v>
      </c>
      <c r="G33" s="173">
        <v>5.0</v>
      </c>
      <c r="H33" s="174">
        <v>4000.0</v>
      </c>
      <c r="I33" s="173">
        <v>1.0</v>
      </c>
      <c r="J33" s="174">
        <v>3999.0</v>
      </c>
      <c r="K33" s="173">
        <v>2.19</v>
      </c>
      <c r="L33" s="174">
        <v>1986.0</v>
      </c>
      <c r="M33" s="173">
        <v>396.39</v>
      </c>
      <c r="N33" s="174">
        <v>1616.61</v>
      </c>
      <c r="O33" s="87">
        <f t="shared" si="1"/>
        <v>1617.61</v>
      </c>
    </row>
    <row r="34">
      <c r="A34" s="172">
        <v>32.0</v>
      </c>
      <c r="B34" s="90" t="s">
        <v>983</v>
      </c>
      <c r="C34" s="90" t="s">
        <v>1016</v>
      </c>
      <c r="D34" s="90" t="s">
        <v>445</v>
      </c>
      <c r="E34" s="175">
        <v>44900.0</v>
      </c>
      <c r="F34" s="90" t="s">
        <v>844</v>
      </c>
      <c r="G34" s="173">
        <v>5.0</v>
      </c>
      <c r="H34" s="174">
        <v>4000.0</v>
      </c>
      <c r="I34" s="173">
        <v>1.0</v>
      </c>
      <c r="J34" s="174">
        <v>3999.0</v>
      </c>
      <c r="K34" s="173">
        <v>2.19</v>
      </c>
      <c r="L34" s="174">
        <v>1986.0</v>
      </c>
      <c r="M34" s="173">
        <v>396.39</v>
      </c>
      <c r="N34" s="174">
        <v>1616.61</v>
      </c>
      <c r="O34" s="87">
        <f t="shared" si="1"/>
        <v>1617.61</v>
      </c>
    </row>
    <row r="35">
      <c r="A35" s="172">
        <v>33.0</v>
      </c>
      <c r="B35" s="90" t="s">
        <v>983</v>
      </c>
      <c r="C35" s="90" t="s">
        <v>1017</v>
      </c>
      <c r="D35" s="90" t="s">
        <v>443</v>
      </c>
      <c r="E35" s="172" t="s">
        <v>1018</v>
      </c>
      <c r="F35" s="90" t="s">
        <v>953</v>
      </c>
      <c r="G35" s="173">
        <v>5.0</v>
      </c>
      <c r="H35" s="174">
        <v>4000.0</v>
      </c>
      <c r="I35" s="173">
        <v>1.0</v>
      </c>
      <c r="J35" s="174">
        <v>3999.0</v>
      </c>
      <c r="K35" s="173">
        <v>2.19</v>
      </c>
      <c r="L35" s="174">
        <v>2479.15</v>
      </c>
      <c r="M35" s="173">
        <v>396.39</v>
      </c>
      <c r="N35" s="174">
        <v>1123.46</v>
      </c>
      <c r="O35" s="87">
        <f t="shared" si="1"/>
        <v>1124.46</v>
      </c>
    </row>
    <row r="36">
      <c r="A36" s="176"/>
      <c r="B36" s="176"/>
      <c r="C36" s="176"/>
      <c r="D36" s="176"/>
      <c r="E36" s="176"/>
      <c r="F36" s="176"/>
      <c r="G36" s="177"/>
      <c r="H36" s="178">
        <f>sum(H3:H35)</f>
        <v>879200</v>
      </c>
      <c r="I36" s="179"/>
      <c r="J36" s="178">
        <f>sum(J3:J35)</f>
        <v>879167</v>
      </c>
      <c r="K36" s="179"/>
      <c r="L36" s="178">
        <f t="shared" ref="L36:N36" si="2">sum(L3:L35)</f>
        <v>825795.1</v>
      </c>
      <c r="M36" s="178">
        <f t="shared" si="2"/>
        <v>43447.92</v>
      </c>
      <c r="N36" s="178">
        <f t="shared" si="2"/>
        <v>9923.98</v>
      </c>
      <c r="O36" s="180">
        <f>SUM(O3:O35)</f>
        <v>9956.98</v>
      </c>
    </row>
  </sheetData>
  <mergeCells count="1">
    <mergeCell ref="A1:O1"/>
  </mergeCells>
  <drawing r:id="rId1"/>
</worksheet>
</file>